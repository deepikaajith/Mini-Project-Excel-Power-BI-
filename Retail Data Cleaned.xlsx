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al\Documents\Mini Project 1\"/>
    </mc:Choice>
  </mc:AlternateContent>
  <xr:revisionPtr revIDLastSave="0" documentId="13_ncr:1_{CD5412C8-9EFC-45BA-9C66-9273ABED6591}" xr6:coauthVersionLast="47" xr6:coauthVersionMax="47" xr10:uidLastSave="{00000000-0000-0000-0000-000000000000}"/>
  <bookViews>
    <workbookView xWindow="-110" yWindow="-110" windowWidth="19420" windowHeight="10300" xr2:uid="{C0B70DFC-2E8E-488E-A5C2-0CE5B61F8992}"/>
  </bookViews>
  <sheets>
    <sheet name="Retail" sheetId="1" r:id="rId1"/>
    <sheet name="Pivot table" sheetId="3" r:id="rId2"/>
  </sheets>
  <externalReferences>
    <externalReference r:id="rId3"/>
  </externalReferences>
  <definedNames>
    <definedName name="_xlnm._FilterDatabase" localSheetId="0" hidden="1">Retail!$A$1:$N$501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8" i="1" l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N501" i="1"/>
  <c r="L501" i="1"/>
  <c r="K501" i="1"/>
  <c r="J501" i="1"/>
  <c r="I501" i="1"/>
  <c r="H501" i="1"/>
  <c r="G501" i="1"/>
  <c r="F501" i="1"/>
  <c r="E501" i="1"/>
  <c r="N500" i="1"/>
  <c r="L500" i="1"/>
  <c r="K500" i="1"/>
  <c r="J500" i="1"/>
  <c r="I500" i="1"/>
  <c r="H500" i="1"/>
  <c r="G500" i="1"/>
  <c r="F500" i="1"/>
  <c r="E500" i="1"/>
  <c r="N499" i="1"/>
  <c r="L499" i="1"/>
  <c r="K499" i="1"/>
  <c r="J499" i="1"/>
  <c r="I499" i="1"/>
  <c r="H499" i="1"/>
  <c r="G499" i="1"/>
  <c r="F499" i="1"/>
  <c r="E499" i="1"/>
  <c r="N498" i="1"/>
  <c r="L498" i="1"/>
  <c r="K498" i="1"/>
  <c r="J498" i="1"/>
  <c r="I498" i="1"/>
  <c r="H498" i="1"/>
  <c r="G498" i="1"/>
  <c r="F498" i="1"/>
  <c r="E498" i="1"/>
  <c r="N497" i="1"/>
  <c r="L497" i="1"/>
  <c r="K497" i="1"/>
  <c r="J497" i="1"/>
  <c r="I497" i="1"/>
  <c r="H497" i="1"/>
  <c r="G497" i="1"/>
  <c r="F497" i="1"/>
  <c r="E497" i="1"/>
  <c r="N496" i="1"/>
  <c r="L496" i="1"/>
  <c r="K496" i="1"/>
  <c r="J496" i="1"/>
  <c r="I496" i="1"/>
  <c r="H496" i="1"/>
  <c r="G496" i="1"/>
  <c r="F496" i="1"/>
  <c r="E496" i="1"/>
  <c r="N495" i="1"/>
  <c r="L495" i="1"/>
  <c r="K495" i="1"/>
  <c r="J495" i="1"/>
  <c r="I495" i="1"/>
  <c r="H495" i="1"/>
  <c r="G495" i="1"/>
  <c r="F495" i="1"/>
  <c r="E495" i="1"/>
  <c r="N494" i="1"/>
  <c r="L494" i="1"/>
  <c r="K494" i="1"/>
  <c r="J494" i="1"/>
  <c r="I494" i="1"/>
  <c r="H494" i="1"/>
  <c r="G494" i="1"/>
  <c r="F494" i="1"/>
  <c r="E494" i="1"/>
  <c r="N493" i="1"/>
  <c r="L493" i="1"/>
  <c r="K493" i="1"/>
  <c r="J493" i="1"/>
  <c r="I493" i="1"/>
  <c r="H493" i="1"/>
  <c r="G493" i="1"/>
  <c r="F493" i="1"/>
  <c r="E493" i="1"/>
  <c r="N492" i="1"/>
  <c r="L492" i="1"/>
  <c r="K492" i="1"/>
  <c r="J492" i="1"/>
  <c r="I492" i="1"/>
  <c r="H492" i="1"/>
  <c r="G492" i="1"/>
  <c r="F492" i="1"/>
  <c r="E492" i="1"/>
  <c r="N491" i="1"/>
  <c r="L491" i="1"/>
  <c r="K491" i="1"/>
  <c r="J491" i="1"/>
  <c r="I491" i="1"/>
  <c r="H491" i="1"/>
  <c r="G491" i="1"/>
  <c r="F491" i="1"/>
  <c r="E491" i="1"/>
  <c r="N490" i="1"/>
  <c r="L490" i="1"/>
  <c r="K490" i="1"/>
  <c r="J490" i="1"/>
  <c r="I490" i="1"/>
  <c r="H490" i="1"/>
  <c r="G490" i="1"/>
  <c r="F490" i="1"/>
  <c r="E490" i="1"/>
  <c r="N489" i="1"/>
  <c r="L489" i="1"/>
  <c r="K489" i="1"/>
  <c r="J489" i="1"/>
  <c r="I489" i="1"/>
  <c r="H489" i="1"/>
  <c r="G489" i="1"/>
  <c r="F489" i="1"/>
  <c r="E489" i="1"/>
  <c r="N488" i="1"/>
  <c r="L488" i="1"/>
  <c r="K488" i="1"/>
  <c r="J488" i="1"/>
  <c r="I488" i="1"/>
  <c r="H488" i="1"/>
  <c r="G488" i="1"/>
  <c r="F488" i="1"/>
  <c r="E488" i="1"/>
  <c r="N487" i="1"/>
  <c r="L487" i="1"/>
  <c r="K487" i="1"/>
  <c r="J487" i="1"/>
  <c r="I487" i="1"/>
  <c r="H487" i="1"/>
  <c r="G487" i="1"/>
  <c r="F487" i="1"/>
  <c r="E487" i="1"/>
  <c r="N486" i="1"/>
  <c r="L486" i="1"/>
  <c r="K486" i="1"/>
  <c r="J486" i="1"/>
  <c r="I486" i="1"/>
  <c r="H486" i="1"/>
  <c r="G486" i="1"/>
  <c r="F486" i="1"/>
  <c r="E486" i="1"/>
  <c r="N485" i="1"/>
  <c r="L485" i="1"/>
  <c r="K485" i="1"/>
  <c r="J485" i="1"/>
  <c r="I485" i="1"/>
  <c r="H485" i="1"/>
  <c r="G485" i="1"/>
  <c r="F485" i="1"/>
  <c r="E485" i="1"/>
  <c r="N484" i="1"/>
  <c r="L484" i="1"/>
  <c r="K484" i="1"/>
  <c r="J484" i="1"/>
  <c r="I484" i="1"/>
  <c r="H484" i="1"/>
  <c r="G484" i="1"/>
  <c r="F484" i="1"/>
  <c r="E484" i="1"/>
  <c r="N483" i="1"/>
  <c r="L483" i="1"/>
  <c r="K483" i="1"/>
  <c r="J483" i="1"/>
  <c r="I483" i="1"/>
  <c r="H483" i="1"/>
  <c r="G483" i="1"/>
  <c r="F483" i="1"/>
  <c r="E483" i="1"/>
  <c r="N482" i="1"/>
  <c r="L482" i="1"/>
  <c r="K482" i="1"/>
  <c r="J482" i="1"/>
  <c r="I482" i="1"/>
  <c r="H482" i="1"/>
  <c r="G482" i="1"/>
  <c r="F482" i="1"/>
  <c r="E482" i="1"/>
  <c r="N481" i="1"/>
  <c r="L481" i="1"/>
  <c r="K481" i="1"/>
  <c r="J481" i="1"/>
  <c r="I481" i="1"/>
  <c r="H481" i="1"/>
  <c r="G481" i="1"/>
  <c r="F481" i="1"/>
  <c r="E481" i="1"/>
  <c r="N480" i="1"/>
  <c r="L480" i="1"/>
  <c r="K480" i="1"/>
  <c r="J480" i="1"/>
  <c r="I480" i="1"/>
  <c r="H480" i="1"/>
  <c r="G480" i="1"/>
  <c r="F480" i="1"/>
  <c r="E480" i="1"/>
  <c r="N479" i="1"/>
  <c r="L479" i="1"/>
  <c r="K479" i="1"/>
  <c r="J479" i="1"/>
  <c r="I479" i="1"/>
  <c r="H479" i="1"/>
  <c r="G479" i="1"/>
  <c r="F479" i="1"/>
  <c r="E479" i="1"/>
  <c r="N478" i="1"/>
  <c r="L478" i="1"/>
  <c r="K478" i="1"/>
  <c r="J478" i="1"/>
  <c r="I478" i="1"/>
  <c r="H478" i="1"/>
  <c r="G478" i="1"/>
  <c r="F478" i="1"/>
  <c r="E478" i="1"/>
  <c r="N477" i="1"/>
  <c r="L477" i="1"/>
  <c r="K477" i="1"/>
  <c r="J477" i="1"/>
  <c r="I477" i="1"/>
  <c r="H477" i="1"/>
  <c r="G477" i="1"/>
  <c r="F477" i="1"/>
  <c r="E477" i="1"/>
  <c r="N476" i="1"/>
  <c r="L476" i="1"/>
  <c r="K476" i="1"/>
  <c r="J476" i="1"/>
  <c r="I476" i="1"/>
  <c r="H476" i="1"/>
  <c r="G476" i="1"/>
  <c r="F476" i="1"/>
  <c r="E476" i="1"/>
  <c r="N475" i="1"/>
  <c r="L475" i="1"/>
  <c r="K475" i="1"/>
  <c r="J475" i="1"/>
  <c r="I475" i="1"/>
  <c r="H475" i="1"/>
  <c r="G475" i="1"/>
  <c r="F475" i="1"/>
  <c r="E475" i="1"/>
  <c r="N474" i="1"/>
  <c r="L474" i="1"/>
  <c r="K474" i="1"/>
  <c r="J474" i="1"/>
  <c r="I474" i="1"/>
  <c r="H474" i="1"/>
  <c r="G474" i="1"/>
  <c r="F474" i="1"/>
  <c r="E474" i="1"/>
  <c r="N473" i="1"/>
  <c r="L473" i="1"/>
  <c r="K473" i="1"/>
  <c r="J473" i="1"/>
  <c r="I473" i="1"/>
  <c r="H473" i="1"/>
  <c r="G473" i="1"/>
  <c r="F473" i="1"/>
  <c r="E473" i="1"/>
  <c r="N472" i="1"/>
  <c r="L472" i="1"/>
  <c r="K472" i="1"/>
  <c r="J472" i="1"/>
  <c r="I472" i="1"/>
  <c r="H472" i="1"/>
  <c r="G472" i="1"/>
  <c r="F472" i="1"/>
  <c r="E472" i="1"/>
  <c r="N471" i="1"/>
  <c r="L471" i="1"/>
  <c r="K471" i="1"/>
  <c r="J471" i="1"/>
  <c r="I471" i="1"/>
  <c r="H471" i="1"/>
  <c r="G471" i="1"/>
  <c r="F471" i="1"/>
  <c r="E471" i="1"/>
  <c r="N470" i="1"/>
  <c r="L470" i="1"/>
  <c r="K470" i="1"/>
  <c r="J470" i="1"/>
  <c r="I470" i="1"/>
  <c r="H470" i="1"/>
  <c r="G470" i="1"/>
  <c r="F470" i="1"/>
  <c r="E470" i="1"/>
  <c r="N469" i="1"/>
  <c r="L469" i="1"/>
  <c r="K469" i="1"/>
  <c r="J469" i="1"/>
  <c r="I469" i="1"/>
  <c r="H469" i="1"/>
  <c r="G469" i="1"/>
  <c r="F469" i="1"/>
  <c r="E469" i="1"/>
  <c r="N468" i="1"/>
  <c r="L468" i="1"/>
  <c r="K468" i="1"/>
  <c r="J468" i="1"/>
  <c r="I468" i="1"/>
  <c r="H468" i="1"/>
  <c r="G468" i="1"/>
  <c r="F468" i="1"/>
  <c r="E468" i="1"/>
  <c r="N467" i="1"/>
  <c r="L467" i="1"/>
  <c r="K467" i="1"/>
  <c r="J467" i="1"/>
  <c r="I467" i="1"/>
  <c r="H467" i="1"/>
  <c r="G467" i="1"/>
  <c r="F467" i="1"/>
  <c r="E467" i="1"/>
  <c r="N466" i="1"/>
  <c r="L466" i="1"/>
  <c r="K466" i="1"/>
  <c r="J466" i="1"/>
  <c r="I466" i="1"/>
  <c r="H466" i="1"/>
  <c r="G466" i="1"/>
  <c r="F466" i="1"/>
  <c r="E466" i="1"/>
  <c r="N465" i="1"/>
  <c r="L465" i="1"/>
  <c r="K465" i="1"/>
  <c r="J465" i="1"/>
  <c r="I465" i="1"/>
  <c r="H465" i="1"/>
  <c r="G465" i="1"/>
  <c r="F465" i="1"/>
  <c r="E465" i="1"/>
  <c r="N464" i="1"/>
  <c r="L464" i="1"/>
  <c r="K464" i="1"/>
  <c r="J464" i="1"/>
  <c r="I464" i="1"/>
  <c r="H464" i="1"/>
  <c r="G464" i="1"/>
  <c r="F464" i="1"/>
  <c r="E464" i="1"/>
  <c r="N463" i="1"/>
  <c r="L463" i="1"/>
  <c r="K463" i="1"/>
  <c r="J463" i="1"/>
  <c r="I463" i="1"/>
  <c r="H463" i="1"/>
  <c r="G463" i="1"/>
  <c r="F463" i="1"/>
  <c r="E463" i="1"/>
  <c r="N462" i="1"/>
  <c r="L462" i="1"/>
  <c r="K462" i="1"/>
  <c r="J462" i="1"/>
  <c r="I462" i="1"/>
  <c r="H462" i="1"/>
  <c r="G462" i="1"/>
  <c r="F462" i="1"/>
  <c r="E462" i="1"/>
  <c r="N461" i="1"/>
  <c r="L461" i="1"/>
  <c r="K461" i="1"/>
  <c r="J461" i="1"/>
  <c r="I461" i="1"/>
  <c r="H461" i="1"/>
  <c r="G461" i="1"/>
  <c r="F461" i="1"/>
  <c r="E461" i="1"/>
  <c r="N460" i="1"/>
  <c r="L460" i="1"/>
  <c r="K460" i="1"/>
  <c r="J460" i="1"/>
  <c r="I460" i="1"/>
  <c r="H460" i="1"/>
  <c r="G460" i="1"/>
  <c r="F460" i="1"/>
  <c r="E460" i="1"/>
  <c r="N459" i="1"/>
  <c r="L459" i="1"/>
  <c r="K459" i="1"/>
  <c r="J459" i="1"/>
  <c r="I459" i="1"/>
  <c r="H459" i="1"/>
  <c r="G459" i="1"/>
  <c r="F459" i="1"/>
  <c r="E459" i="1"/>
  <c r="N458" i="1"/>
  <c r="L458" i="1"/>
  <c r="K458" i="1"/>
  <c r="J458" i="1"/>
  <c r="I458" i="1"/>
  <c r="H458" i="1"/>
  <c r="G458" i="1"/>
  <c r="F458" i="1"/>
  <c r="E458" i="1"/>
  <c r="N457" i="1"/>
  <c r="L457" i="1"/>
  <c r="K457" i="1"/>
  <c r="J457" i="1"/>
  <c r="I457" i="1"/>
  <c r="H457" i="1"/>
  <c r="G457" i="1"/>
  <c r="F457" i="1"/>
  <c r="E457" i="1"/>
  <c r="N456" i="1"/>
  <c r="L456" i="1"/>
  <c r="K456" i="1"/>
  <c r="J456" i="1"/>
  <c r="I456" i="1"/>
  <c r="H456" i="1"/>
  <c r="G456" i="1"/>
  <c r="F456" i="1"/>
  <c r="E456" i="1"/>
  <c r="N455" i="1"/>
  <c r="L455" i="1"/>
  <c r="K455" i="1"/>
  <c r="J455" i="1"/>
  <c r="I455" i="1"/>
  <c r="H455" i="1"/>
  <c r="G455" i="1"/>
  <c r="F455" i="1"/>
  <c r="E455" i="1"/>
  <c r="N454" i="1"/>
  <c r="L454" i="1"/>
  <c r="K454" i="1"/>
  <c r="J454" i="1"/>
  <c r="I454" i="1"/>
  <c r="H454" i="1"/>
  <c r="G454" i="1"/>
  <c r="F454" i="1"/>
  <c r="E454" i="1"/>
  <c r="N453" i="1"/>
  <c r="L453" i="1"/>
  <c r="K453" i="1"/>
  <c r="J453" i="1"/>
  <c r="I453" i="1"/>
  <c r="H453" i="1"/>
  <c r="G453" i="1"/>
  <c r="F453" i="1"/>
  <c r="E453" i="1"/>
  <c r="N452" i="1"/>
  <c r="L452" i="1"/>
  <c r="K452" i="1"/>
  <c r="J452" i="1"/>
  <c r="I452" i="1"/>
  <c r="H452" i="1"/>
  <c r="G452" i="1"/>
  <c r="F452" i="1"/>
  <c r="E452" i="1"/>
  <c r="N451" i="1"/>
  <c r="L451" i="1"/>
  <c r="K451" i="1"/>
  <c r="J451" i="1"/>
  <c r="I451" i="1"/>
  <c r="H451" i="1"/>
  <c r="G451" i="1"/>
  <c r="F451" i="1"/>
  <c r="E451" i="1"/>
  <c r="N450" i="1"/>
  <c r="L450" i="1"/>
  <c r="K450" i="1"/>
  <c r="J450" i="1"/>
  <c r="I450" i="1"/>
  <c r="H450" i="1"/>
  <c r="G450" i="1"/>
  <c r="F450" i="1"/>
  <c r="E450" i="1"/>
  <c r="N449" i="1"/>
  <c r="L449" i="1"/>
  <c r="K449" i="1"/>
  <c r="J449" i="1"/>
  <c r="I449" i="1"/>
  <c r="H449" i="1"/>
  <c r="G449" i="1"/>
  <c r="F449" i="1"/>
  <c r="E449" i="1"/>
  <c r="N448" i="1"/>
  <c r="L448" i="1"/>
  <c r="K448" i="1"/>
  <c r="J448" i="1"/>
  <c r="I448" i="1"/>
  <c r="H448" i="1"/>
  <c r="G448" i="1"/>
  <c r="F448" i="1"/>
  <c r="E448" i="1"/>
  <c r="N447" i="1"/>
  <c r="L447" i="1"/>
  <c r="K447" i="1"/>
  <c r="J447" i="1"/>
  <c r="I447" i="1"/>
  <c r="H447" i="1"/>
  <c r="G447" i="1"/>
  <c r="F447" i="1"/>
  <c r="E447" i="1"/>
  <c r="N446" i="1"/>
  <c r="L446" i="1"/>
  <c r="K446" i="1"/>
  <c r="J446" i="1"/>
  <c r="I446" i="1"/>
  <c r="H446" i="1"/>
  <c r="G446" i="1"/>
  <c r="F446" i="1"/>
  <c r="E446" i="1"/>
  <c r="N445" i="1"/>
  <c r="L445" i="1"/>
  <c r="K445" i="1"/>
  <c r="J445" i="1"/>
  <c r="I445" i="1"/>
  <c r="H445" i="1"/>
  <c r="G445" i="1"/>
  <c r="F445" i="1"/>
  <c r="E445" i="1"/>
  <c r="N444" i="1"/>
  <c r="L444" i="1"/>
  <c r="K444" i="1"/>
  <c r="J444" i="1"/>
  <c r="I444" i="1"/>
  <c r="H444" i="1"/>
  <c r="G444" i="1"/>
  <c r="F444" i="1"/>
  <c r="E444" i="1"/>
  <c r="N443" i="1"/>
  <c r="L443" i="1"/>
  <c r="K443" i="1"/>
  <c r="J443" i="1"/>
  <c r="I443" i="1"/>
  <c r="H443" i="1"/>
  <c r="G443" i="1"/>
  <c r="F443" i="1"/>
  <c r="E443" i="1"/>
  <c r="N442" i="1"/>
  <c r="L442" i="1"/>
  <c r="K442" i="1"/>
  <c r="J442" i="1"/>
  <c r="I442" i="1"/>
  <c r="H442" i="1"/>
  <c r="G442" i="1"/>
  <c r="F442" i="1"/>
  <c r="E442" i="1"/>
  <c r="N441" i="1"/>
  <c r="L441" i="1"/>
  <c r="K441" i="1"/>
  <c r="J441" i="1"/>
  <c r="I441" i="1"/>
  <c r="H441" i="1"/>
  <c r="G441" i="1"/>
  <c r="F441" i="1"/>
  <c r="E441" i="1"/>
  <c r="N440" i="1"/>
  <c r="L440" i="1"/>
  <c r="K440" i="1"/>
  <c r="J440" i="1"/>
  <c r="I440" i="1"/>
  <c r="H440" i="1"/>
  <c r="G440" i="1"/>
  <c r="F440" i="1"/>
  <c r="E440" i="1"/>
  <c r="N439" i="1"/>
  <c r="L439" i="1"/>
  <c r="K439" i="1"/>
  <c r="J439" i="1"/>
  <c r="I439" i="1"/>
  <c r="H439" i="1"/>
  <c r="G439" i="1"/>
  <c r="F439" i="1"/>
  <c r="E439" i="1"/>
  <c r="N438" i="1"/>
  <c r="L438" i="1"/>
  <c r="K438" i="1"/>
  <c r="J438" i="1"/>
  <c r="I438" i="1"/>
  <c r="H438" i="1"/>
  <c r="G438" i="1"/>
  <c r="F438" i="1"/>
  <c r="E438" i="1"/>
  <c r="N437" i="1"/>
  <c r="L437" i="1"/>
  <c r="K437" i="1"/>
  <c r="J437" i="1"/>
  <c r="I437" i="1"/>
  <c r="H437" i="1"/>
  <c r="G437" i="1"/>
  <c r="F437" i="1"/>
  <c r="E437" i="1"/>
  <c r="N436" i="1"/>
  <c r="L436" i="1"/>
  <c r="K436" i="1"/>
  <c r="J436" i="1"/>
  <c r="I436" i="1"/>
  <c r="H436" i="1"/>
  <c r="G436" i="1"/>
  <c r="F436" i="1"/>
  <c r="E436" i="1"/>
  <c r="N435" i="1"/>
  <c r="L435" i="1"/>
  <c r="K435" i="1"/>
  <c r="J435" i="1"/>
  <c r="I435" i="1"/>
  <c r="H435" i="1"/>
  <c r="G435" i="1"/>
  <c r="F435" i="1"/>
  <c r="E435" i="1"/>
  <c r="N434" i="1"/>
  <c r="L434" i="1"/>
  <c r="K434" i="1"/>
  <c r="J434" i="1"/>
  <c r="I434" i="1"/>
  <c r="H434" i="1"/>
  <c r="G434" i="1"/>
  <c r="F434" i="1"/>
  <c r="E434" i="1"/>
  <c r="N433" i="1"/>
  <c r="L433" i="1"/>
  <c r="K433" i="1"/>
  <c r="J433" i="1"/>
  <c r="I433" i="1"/>
  <c r="H433" i="1"/>
  <c r="G433" i="1"/>
  <c r="F433" i="1"/>
  <c r="E433" i="1"/>
  <c r="N432" i="1"/>
  <c r="L432" i="1"/>
  <c r="K432" i="1"/>
  <c r="J432" i="1"/>
  <c r="I432" i="1"/>
  <c r="H432" i="1"/>
  <c r="G432" i="1"/>
  <c r="F432" i="1"/>
  <c r="E432" i="1"/>
  <c r="N431" i="1"/>
  <c r="L431" i="1"/>
  <c r="K431" i="1"/>
  <c r="J431" i="1"/>
  <c r="I431" i="1"/>
  <c r="H431" i="1"/>
  <c r="G431" i="1"/>
  <c r="F431" i="1"/>
  <c r="E431" i="1"/>
  <c r="N430" i="1"/>
  <c r="L430" i="1"/>
  <c r="K430" i="1"/>
  <c r="J430" i="1"/>
  <c r="I430" i="1"/>
  <c r="H430" i="1"/>
  <c r="G430" i="1"/>
  <c r="F430" i="1"/>
  <c r="E430" i="1"/>
  <c r="N429" i="1"/>
  <c r="L429" i="1"/>
  <c r="K429" i="1"/>
  <c r="J429" i="1"/>
  <c r="I429" i="1"/>
  <c r="H429" i="1"/>
  <c r="G429" i="1"/>
  <c r="F429" i="1"/>
  <c r="E429" i="1"/>
  <c r="N428" i="1"/>
  <c r="L428" i="1"/>
  <c r="K428" i="1"/>
  <c r="J428" i="1"/>
  <c r="I428" i="1"/>
  <c r="H428" i="1"/>
  <c r="G428" i="1"/>
  <c r="F428" i="1"/>
  <c r="E428" i="1"/>
  <c r="N427" i="1"/>
  <c r="L427" i="1"/>
  <c r="K427" i="1"/>
  <c r="J427" i="1"/>
  <c r="I427" i="1"/>
  <c r="H427" i="1"/>
  <c r="G427" i="1"/>
  <c r="F427" i="1"/>
  <c r="E427" i="1"/>
  <c r="N426" i="1"/>
  <c r="L426" i="1"/>
  <c r="K426" i="1"/>
  <c r="J426" i="1"/>
  <c r="I426" i="1"/>
  <c r="H426" i="1"/>
  <c r="G426" i="1"/>
  <c r="F426" i="1"/>
  <c r="E426" i="1"/>
  <c r="N425" i="1"/>
  <c r="L425" i="1"/>
  <c r="K425" i="1"/>
  <c r="J425" i="1"/>
  <c r="I425" i="1"/>
  <c r="H425" i="1"/>
  <c r="G425" i="1"/>
  <c r="F425" i="1"/>
  <c r="E425" i="1"/>
  <c r="N424" i="1"/>
  <c r="L424" i="1"/>
  <c r="K424" i="1"/>
  <c r="J424" i="1"/>
  <c r="I424" i="1"/>
  <c r="H424" i="1"/>
  <c r="G424" i="1"/>
  <c r="F424" i="1"/>
  <c r="E424" i="1"/>
  <c r="N423" i="1"/>
  <c r="L423" i="1"/>
  <c r="K423" i="1"/>
  <c r="J423" i="1"/>
  <c r="I423" i="1"/>
  <c r="H423" i="1"/>
  <c r="G423" i="1"/>
  <c r="F423" i="1"/>
  <c r="E423" i="1"/>
  <c r="N422" i="1"/>
  <c r="L422" i="1"/>
  <c r="K422" i="1"/>
  <c r="J422" i="1"/>
  <c r="I422" i="1"/>
  <c r="H422" i="1"/>
  <c r="G422" i="1"/>
  <c r="F422" i="1"/>
  <c r="E422" i="1"/>
  <c r="N421" i="1"/>
  <c r="L421" i="1"/>
  <c r="K421" i="1"/>
  <c r="J421" i="1"/>
  <c r="I421" i="1"/>
  <c r="H421" i="1"/>
  <c r="G421" i="1"/>
  <c r="F421" i="1"/>
  <c r="E421" i="1"/>
  <c r="N420" i="1"/>
  <c r="L420" i="1"/>
  <c r="K420" i="1"/>
  <c r="J420" i="1"/>
  <c r="I420" i="1"/>
  <c r="H420" i="1"/>
  <c r="G420" i="1"/>
  <c r="F420" i="1"/>
  <c r="E420" i="1"/>
  <c r="N419" i="1"/>
  <c r="L419" i="1"/>
  <c r="K419" i="1"/>
  <c r="J419" i="1"/>
  <c r="I419" i="1"/>
  <c r="H419" i="1"/>
  <c r="G419" i="1"/>
  <c r="F419" i="1"/>
  <c r="E419" i="1"/>
  <c r="N418" i="1"/>
  <c r="L418" i="1"/>
  <c r="K418" i="1"/>
  <c r="J418" i="1"/>
  <c r="I418" i="1"/>
  <c r="H418" i="1"/>
  <c r="G418" i="1"/>
  <c r="F418" i="1"/>
  <c r="E418" i="1"/>
  <c r="N417" i="1"/>
  <c r="L417" i="1"/>
  <c r="K417" i="1"/>
  <c r="J417" i="1"/>
  <c r="I417" i="1"/>
  <c r="H417" i="1"/>
  <c r="G417" i="1"/>
  <c r="F417" i="1"/>
  <c r="E417" i="1"/>
  <c r="N416" i="1"/>
  <c r="L416" i="1"/>
  <c r="K416" i="1"/>
  <c r="J416" i="1"/>
  <c r="I416" i="1"/>
  <c r="H416" i="1"/>
  <c r="G416" i="1"/>
  <c r="F416" i="1"/>
  <c r="E416" i="1"/>
  <c r="N415" i="1"/>
  <c r="L415" i="1"/>
  <c r="K415" i="1"/>
  <c r="J415" i="1"/>
  <c r="I415" i="1"/>
  <c r="H415" i="1"/>
  <c r="G415" i="1"/>
  <c r="F415" i="1"/>
  <c r="E415" i="1"/>
  <c r="N414" i="1"/>
  <c r="L414" i="1"/>
  <c r="K414" i="1"/>
  <c r="J414" i="1"/>
  <c r="I414" i="1"/>
  <c r="H414" i="1"/>
  <c r="G414" i="1"/>
  <c r="F414" i="1"/>
  <c r="E414" i="1"/>
  <c r="N413" i="1"/>
  <c r="L413" i="1"/>
  <c r="K413" i="1"/>
  <c r="J413" i="1"/>
  <c r="I413" i="1"/>
  <c r="H413" i="1"/>
  <c r="G413" i="1"/>
  <c r="F413" i="1"/>
  <c r="E413" i="1"/>
  <c r="N412" i="1"/>
  <c r="L412" i="1"/>
  <c r="K412" i="1"/>
  <c r="J412" i="1"/>
  <c r="I412" i="1"/>
  <c r="H412" i="1"/>
  <c r="G412" i="1"/>
  <c r="F412" i="1"/>
  <c r="E412" i="1"/>
  <c r="N411" i="1"/>
  <c r="L411" i="1"/>
  <c r="K411" i="1"/>
  <c r="J411" i="1"/>
  <c r="I411" i="1"/>
  <c r="H411" i="1"/>
  <c r="G411" i="1"/>
  <c r="F411" i="1"/>
  <c r="E411" i="1"/>
  <c r="N410" i="1"/>
  <c r="L410" i="1"/>
  <c r="K410" i="1"/>
  <c r="J410" i="1"/>
  <c r="I410" i="1"/>
  <c r="H410" i="1"/>
  <c r="G410" i="1"/>
  <c r="F410" i="1"/>
  <c r="E410" i="1"/>
  <c r="N409" i="1"/>
  <c r="L409" i="1"/>
  <c r="K409" i="1"/>
  <c r="J409" i="1"/>
  <c r="I409" i="1"/>
  <c r="H409" i="1"/>
  <c r="G409" i="1"/>
  <c r="F409" i="1"/>
  <c r="E409" i="1"/>
  <c r="N408" i="1"/>
  <c r="L408" i="1"/>
  <c r="K408" i="1"/>
  <c r="J408" i="1"/>
  <c r="I408" i="1"/>
  <c r="H408" i="1"/>
  <c r="G408" i="1"/>
  <c r="F408" i="1"/>
  <c r="E408" i="1"/>
  <c r="N407" i="1"/>
  <c r="L407" i="1"/>
  <c r="K407" i="1"/>
  <c r="J407" i="1"/>
  <c r="I407" i="1"/>
  <c r="H407" i="1"/>
  <c r="G407" i="1"/>
  <c r="F407" i="1"/>
  <c r="E407" i="1"/>
  <c r="N406" i="1"/>
  <c r="L406" i="1"/>
  <c r="K406" i="1"/>
  <c r="J406" i="1"/>
  <c r="I406" i="1"/>
  <c r="H406" i="1"/>
  <c r="G406" i="1"/>
  <c r="F406" i="1"/>
  <c r="E406" i="1"/>
  <c r="N405" i="1"/>
  <c r="L405" i="1"/>
  <c r="K405" i="1"/>
  <c r="J405" i="1"/>
  <c r="I405" i="1"/>
  <c r="H405" i="1"/>
  <c r="G405" i="1"/>
  <c r="F405" i="1"/>
  <c r="E405" i="1"/>
  <c r="N404" i="1"/>
  <c r="L404" i="1"/>
  <c r="K404" i="1"/>
  <c r="J404" i="1"/>
  <c r="I404" i="1"/>
  <c r="H404" i="1"/>
  <c r="G404" i="1"/>
  <c r="F404" i="1"/>
  <c r="E404" i="1"/>
  <c r="N403" i="1"/>
  <c r="L403" i="1"/>
  <c r="K403" i="1"/>
  <c r="J403" i="1"/>
  <c r="I403" i="1"/>
  <c r="H403" i="1"/>
  <c r="G403" i="1"/>
  <c r="F403" i="1"/>
  <c r="E403" i="1"/>
  <c r="N402" i="1"/>
  <c r="L402" i="1"/>
  <c r="K402" i="1"/>
  <c r="J402" i="1"/>
  <c r="I402" i="1"/>
  <c r="H402" i="1"/>
  <c r="G402" i="1"/>
  <c r="F402" i="1"/>
  <c r="E402" i="1"/>
  <c r="N401" i="1"/>
  <c r="L401" i="1"/>
  <c r="K401" i="1"/>
  <c r="J401" i="1"/>
  <c r="I401" i="1"/>
  <c r="H401" i="1"/>
  <c r="G401" i="1"/>
  <c r="F401" i="1"/>
  <c r="E401" i="1"/>
  <c r="N400" i="1"/>
  <c r="L400" i="1"/>
  <c r="K400" i="1"/>
  <c r="J400" i="1"/>
  <c r="I400" i="1"/>
  <c r="H400" i="1"/>
  <c r="G400" i="1"/>
  <c r="F400" i="1"/>
  <c r="E400" i="1"/>
  <c r="N399" i="1"/>
  <c r="L399" i="1"/>
  <c r="K399" i="1"/>
  <c r="J399" i="1"/>
  <c r="I399" i="1"/>
  <c r="H399" i="1"/>
  <c r="G399" i="1"/>
  <c r="F399" i="1"/>
  <c r="E399" i="1"/>
  <c r="N398" i="1"/>
  <c r="L398" i="1"/>
  <c r="K398" i="1"/>
  <c r="J398" i="1"/>
  <c r="I398" i="1"/>
  <c r="H398" i="1"/>
  <c r="G398" i="1"/>
  <c r="F398" i="1"/>
  <c r="E398" i="1"/>
  <c r="N397" i="1"/>
  <c r="L397" i="1"/>
  <c r="K397" i="1"/>
  <c r="J397" i="1"/>
  <c r="I397" i="1"/>
  <c r="H397" i="1"/>
  <c r="G397" i="1"/>
  <c r="F397" i="1"/>
  <c r="E397" i="1"/>
  <c r="N396" i="1"/>
  <c r="L396" i="1"/>
  <c r="K396" i="1"/>
  <c r="J396" i="1"/>
  <c r="I396" i="1"/>
  <c r="H396" i="1"/>
  <c r="G396" i="1"/>
  <c r="F396" i="1"/>
  <c r="E396" i="1"/>
  <c r="N395" i="1"/>
  <c r="L395" i="1"/>
  <c r="K395" i="1"/>
  <c r="J395" i="1"/>
  <c r="I395" i="1"/>
  <c r="H395" i="1"/>
  <c r="G395" i="1"/>
  <c r="F395" i="1"/>
  <c r="E395" i="1"/>
  <c r="N394" i="1"/>
  <c r="L394" i="1"/>
  <c r="K394" i="1"/>
  <c r="J394" i="1"/>
  <c r="I394" i="1"/>
  <c r="H394" i="1"/>
  <c r="G394" i="1"/>
  <c r="F394" i="1"/>
  <c r="E394" i="1"/>
  <c r="N393" i="1"/>
  <c r="L393" i="1"/>
  <c r="K393" i="1"/>
  <c r="J393" i="1"/>
  <c r="I393" i="1"/>
  <c r="H393" i="1"/>
  <c r="G393" i="1"/>
  <c r="F393" i="1"/>
  <c r="E393" i="1"/>
  <c r="N392" i="1"/>
  <c r="L392" i="1"/>
  <c r="K392" i="1"/>
  <c r="J392" i="1"/>
  <c r="I392" i="1"/>
  <c r="H392" i="1"/>
  <c r="G392" i="1"/>
  <c r="F392" i="1"/>
  <c r="E392" i="1"/>
  <c r="N391" i="1"/>
  <c r="L391" i="1"/>
  <c r="K391" i="1"/>
  <c r="J391" i="1"/>
  <c r="I391" i="1"/>
  <c r="H391" i="1"/>
  <c r="G391" i="1"/>
  <c r="F391" i="1"/>
  <c r="E391" i="1"/>
  <c r="N390" i="1"/>
  <c r="L390" i="1"/>
  <c r="K390" i="1"/>
  <c r="J390" i="1"/>
  <c r="I390" i="1"/>
  <c r="H390" i="1"/>
  <c r="G390" i="1"/>
  <c r="F390" i="1"/>
  <c r="E390" i="1"/>
  <c r="N389" i="1"/>
  <c r="L389" i="1"/>
  <c r="K389" i="1"/>
  <c r="J389" i="1"/>
  <c r="I389" i="1"/>
  <c r="H389" i="1"/>
  <c r="G389" i="1"/>
  <c r="F389" i="1"/>
  <c r="E389" i="1"/>
  <c r="N388" i="1"/>
  <c r="L388" i="1"/>
  <c r="K388" i="1"/>
  <c r="J388" i="1"/>
  <c r="I388" i="1"/>
  <c r="H388" i="1"/>
  <c r="G388" i="1"/>
  <c r="F388" i="1"/>
  <c r="E388" i="1"/>
  <c r="N387" i="1"/>
  <c r="L387" i="1"/>
  <c r="K387" i="1"/>
  <c r="J387" i="1"/>
  <c r="I387" i="1"/>
  <c r="H387" i="1"/>
  <c r="G387" i="1"/>
  <c r="F387" i="1"/>
  <c r="E387" i="1"/>
  <c r="N386" i="1"/>
  <c r="L386" i="1"/>
  <c r="K386" i="1"/>
  <c r="J386" i="1"/>
  <c r="I386" i="1"/>
  <c r="H386" i="1"/>
  <c r="G386" i="1"/>
  <c r="F386" i="1"/>
  <c r="E386" i="1"/>
  <c r="N385" i="1"/>
  <c r="L385" i="1"/>
  <c r="K385" i="1"/>
  <c r="J385" i="1"/>
  <c r="I385" i="1"/>
  <c r="H385" i="1"/>
  <c r="G385" i="1"/>
  <c r="F385" i="1"/>
  <c r="E385" i="1"/>
  <c r="N384" i="1"/>
  <c r="L384" i="1"/>
  <c r="K384" i="1"/>
  <c r="J384" i="1"/>
  <c r="I384" i="1"/>
  <c r="H384" i="1"/>
  <c r="G384" i="1"/>
  <c r="F384" i="1"/>
  <c r="E384" i="1"/>
  <c r="N383" i="1"/>
  <c r="L383" i="1"/>
  <c r="K383" i="1"/>
  <c r="J383" i="1"/>
  <c r="I383" i="1"/>
  <c r="H383" i="1"/>
  <c r="G383" i="1"/>
  <c r="F383" i="1"/>
  <c r="E383" i="1"/>
  <c r="N382" i="1"/>
  <c r="L382" i="1"/>
  <c r="K382" i="1"/>
  <c r="J382" i="1"/>
  <c r="I382" i="1"/>
  <c r="H382" i="1"/>
  <c r="G382" i="1"/>
  <c r="F382" i="1"/>
  <c r="E382" i="1"/>
  <c r="N381" i="1"/>
  <c r="L381" i="1"/>
  <c r="K381" i="1"/>
  <c r="J381" i="1"/>
  <c r="I381" i="1"/>
  <c r="H381" i="1"/>
  <c r="G381" i="1"/>
  <c r="F381" i="1"/>
  <c r="E381" i="1"/>
  <c r="N380" i="1"/>
  <c r="L380" i="1"/>
  <c r="K380" i="1"/>
  <c r="J380" i="1"/>
  <c r="I380" i="1"/>
  <c r="H380" i="1"/>
  <c r="G380" i="1"/>
  <c r="F380" i="1"/>
  <c r="E380" i="1"/>
  <c r="N379" i="1"/>
  <c r="L379" i="1"/>
  <c r="K379" i="1"/>
  <c r="J379" i="1"/>
  <c r="I379" i="1"/>
  <c r="H379" i="1"/>
  <c r="G379" i="1"/>
  <c r="F379" i="1"/>
  <c r="E379" i="1"/>
  <c r="N378" i="1"/>
  <c r="L378" i="1"/>
  <c r="K378" i="1"/>
  <c r="J378" i="1"/>
  <c r="I378" i="1"/>
  <c r="H378" i="1"/>
  <c r="G378" i="1"/>
  <c r="F378" i="1"/>
  <c r="E378" i="1"/>
  <c r="N377" i="1"/>
  <c r="L377" i="1"/>
  <c r="K377" i="1"/>
  <c r="J377" i="1"/>
  <c r="I377" i="1"/>
  <c r="H377" i="1"/>
  <c r="G377" i="1"/>
  <c r="F377" i="1"/>
  <c r="E377" i="1"/>
  <c r="N376" i="1"/>
  <c r="L376" i="1"/>
  <c r="K376" i="1"/>
  <c r="J376" i="1"/>
  <c r="I376" i="1"/>
  <c r="H376" i="1"/>
  <c r="G376" i="1"/>
  <c r="F376" i="1"/>
  <c r="E376" i="1"/>
  <c r="N375" i="1"/>
  <c r="L375" i="1"/>
  <c r="K375" i="1"/>
  <c r="J375" i="1"/>
  <c r="I375" i="1"/>
  <c r="H375" i="1"/>
  <c r="G375" i="1"/>
  <c r="F375" i="1"/>
  <c r="E375" i="1"/>
  <c r="N374" i="1"/>
  <c r="L374" i="1"/>
  <c r="K374" i="1"/>
  <c r="J374" i="1"/>
  <c r="I374" i="1"/>
  <c r="H374" i="1"/>
  <c r="G374" i="1"/>
  <c r="F374" i="1"/>
  <c r="E374" i="1"/>
  <c r="N373" i="1"/>
  <c r="L373" i="1"/>
  <c r="K373" i="1"/>
  <c r="J373" i="1"/>
  <c r="I373" i="1"/>
  <c r="H373" i="1"/>
  <c r="G373" i="1"/>
  <c r="F373" i="1"/>
  <c r="E373" i="1"/>
  <c r="N372" i="1"/>
  <c r="L372" i="1"/>
  <c r="K372" i="1"/>
  <c r="J372" i="1"/>
  <c r="I372" i="1"/>
  <c r="H372" i="1"/>
  <c r="G372" i="1"/>
  <c r="F372" i="1"/>
  <c r="E372" i="1"/>
  <c r="N371" i="1"/>
  <c r="L371" i="1"/>
  <c r="K371" i="1"/>
  <c r="J371" i="1"/>
  <c r="I371" i="1"/>
  <c r="H371" i="1"/>
  <c r="G371" i="1"/>
  <c r="F371" i="1"/>
  <c r="E371" i="1"/>
  <c r="N370" i="1"/>
  <c r="L370" i="1"/>
  <c r="K370" i="1"/>
  <c r="J370" i="1"/>
  <c r="I370" i="1"/>
  <c r="H370" i="1"/>
  <c r="G370" i="1"/>
  <c r="F370" i="1"/>
  <c r="E370" i="1"/>
  <c r="N369" i="1"/>
  <c r="L369" i="1"/>
  <c r="K369" i="1"/>
  <c r="J369" i="1"/>
  <c r="I369" i="1"/>
  <c r="H369" i="1"/>
  <c r="G369" i="1"/>
  <c r="F369" i="1"/>
  <c r="E369" i="1"/>
  <c r="N368" i="1"/>
  <c r="L368" i="1"/>
  <c r="K368" i="1"/>
  <c r="J368" i="1"/>
  <c r="I368" i="1"/>
  <c r="H368" i="1"/>
  <c r="G368" i="1"/>
  <c r="F368" i="1"/>
  <c r="E368" i="1"/>
  <c r="N367" i="1"/>
  <c r="L367" i="1"/>
  <c r="K367" i="1"/>
  <c r="J367" i="1"/>
  <c r="I367" i="1"/>
  <c r="H367" i="1"/>
  <c r="G367" i="1"/>
  <c r="F367" i="1"/>
  <c r="E367" i="1"/>
  <c r="N366" i="1"/>
  <c r="L366" i="1"/>
  <c r="K366" i="1"/>
  <c r="J366" i="1"/>
  <c r="I366" i="1"/>
  <c r="H366" i="1"/>
  <c r="G366" i="1"/>
  <c r="F366" i="1"/>
  <c r="E366" i="1"/>
  <c r="N365" i="1"/>
  <c r="L365" i="1"/>
  <c r="K365" i="1"/>
  <c r="J365" i="1"/>
  <c r="I365" i="1"/>
  <c r="H365" i="1"/>
  <c r="G365" i="1"/>
  <c r="F365" i="1"/>
  <c r="E365" i="1"/>
  <c r="N364" i="1"/>
  <c r="L364" i="1"/>
  <c r="K364" i="1"/>
  <c r="J364" i="1"/>
  <c r="I364" i="1"/>
  <c r="H364" i="1"/>
  <c r="G364" i="1"/>
  <c r="F364" i="1"/>
  <c r="E364" i="1"/>
  <c r="N363" i="1"/>
  <c r="L363" i="1"/>
  <c r="K363" i="1"/>
  <c r="J363" i="1"/>
  <c r="I363" i="1"/>
  <c r="H363" i="1"/>
  <c r="G363" i="1"/>
  <c r="F363" i="1"/>
  <c r="E363" i="1"/>
  <c r="N362" i="1"/>
  <c r="L362" i="1"/>
  <c r="K362" i="1"/>
  <c r="J362" i="1"/>
  <c r="I362" i="1"/>
  <c r="H362" i="1"/>
  <c r="G362" i="1"/>
  <c r="F362" i="1"/>
  <c r="E362" i="1"/>
  <c r="N361" i="1"/>
  <c r="L361" i="1"/>
  <c r="K361" i="1"/>
  <c r="J361" i="1"/>
  <c r="I361" i="1"/>
  <c r="H361" i="1"/>
  <c r="G361" i="1"/>
  <c r="F361" i="1"/>
  <c r="E361" i="1"/>
  <c r="N360" i="1"/>
  <c r="L360" i="1"/>
  <c r="K360" i="1"/>
  <c r="J360" i="1"/>
  <c r="I360" i="1"/>
  <c r="H360" i="1"/>
  <c r="G360" i="1"/>
  <c r="F360" i="1"/>
  <c r="E360" i="1"/>
  <c r="N359" i="1"/>
  <c r="L359" i="1"/>
  <c r="K359" i="1"/>
  <c r="J359" i="1"/>
  <c r="I359" i="1"/>
  <c r="H359" i="1"/>
  <c r="G359" i="1"/>
  <c r="F359" i="1"/>
  <c r="E359" i="1"/>
  <c r="N358" i="1"/>
  <c r="L358" i="1"/>
  <c r="K358" i="1"/>
  <c r="J358" i="1"/>
  <c r="I358" i="1"/>
  <c r="H358" i="1"/>
  <c r="G358" i="1"/>
  <c r="F358" i="1"/>
  <c r="E358" i="1"/>
  <c r="N357" i="1"/>
  <c r="L357" i="1"/>
  <c r="K357" i="1"/>
  <c r="J357" i="1"/>
  <c r="I357" i="1"/>
  <c r="H357" i="1"/>
  <c r="G357" i="1"/>
  <c r="F357" i="1"/>
  <c r="E357" i="1"/>
  <c r="N356" i="1"/>
  <c r="L356" i="1"/>
  <c r="K356" i="1"/>
  <c r="J356" i="1"/>
  <c r="I356" i="1"/>
  <c r="H356" i="1"/>
  <c r="G356" i="1"/>
  <c r="F356" i="1"/>
  <c r="E356" i="1"/>
  <c r="N355" i="1"/>
  <c r="L355" i="1"/>
  <c r="K355" i="1"/>
  <c r="J355" i="1"/>
  <c r="I355" i="1"/>
  <c r="H355" i="1"/>
  <c r="G355" i="1"/>
  <c r="F355" i="1"/>
  <c r="E355" i="1"/>
  <c r="N354" i="1"/>
  <c r="L354" i="1"/>
  <c r="K354" i="1"/>
  <c r="J354" i="1"/>
  <c r="I354" i="1"/>
  <c r="H354" i="1"/>
  <c r="G354" i="1"/>
  <c r="F354" i="1"/>
  <c r="E354" i="1"/>
  <c r="N353" i="1"/>
  <c r="L353" i="1"/>
  <c r="K353" i="1"/>
  <c r="J353" i="1"/>
  <c r="I353" i="1"/>
  <c r="H353" i="1"/>
  <c r="G353" i="1"/>
  <c r="F353" i="1"/>
  <c r="E353" i="1"/>
  <c r="N352" i="1"/>
  <c r="L352" i="1"/>
  <c r="K352" i="1"/>
  <c r="J352" i="1"/>
  <c r="I352" i="1"/>
  <c r="H352" i="1"/>
  <c r="G352" i="1"/>
  <c r="F352" i="1"/>
  <c r="E352" i="1"/>
  <c r="N351" i="1"/>
  <c r="L351" i="1"/>
  <c r="K351" i="1"/>
  <c r="J351" i="1"/>
  <c r="I351" i="1"/>
  <c r="H351" i="1"/>
  <c r="G351" i="1"/>
  <c r="F351" i="1"/>
  <c r="E351" i="1"/>
  <c r="N350" i="1"/>
  <c r="L350" i="1"/>
  <c r="K350" i="1"/>
  <c r="J350" i="1"/>
  <c r="I350" i="1"/>
  <c r="H350" i="1"/>
  <c r="G350" i="1"/>
  <c r="F350" i="1"/>
  <c r="E350" i="1"/>
  <c r="N349" i="1"/>
  <c r="L349" i="1"/>
  <c r="K349" i="1"/>
  <c r="J349" i="1"/>
  <c r="I349" i="1"/>
  <c r="H349" i="1"/>
  <c r="G349" i="1"/>
  <c r="F349" i="1"/>
  <c r="E349" i="1"/>
  <c r="N348" i="1"/>
  <c r="L348" i="1"/>
  <c r="K348" i="1"/>
  <c r="J348" i="1"/>
  <c r="I348" i="1"/>
  <c r="H348" i="1"/>
  <c r="G348" i="1"/>
  <c r="F348" i="1"/>
  <c r="E348" i="1"/>
  <c r="N347" i="1"/>
  <c r="L347" i="1"/>
  <c r="K347" i="1"/>
  <c r="J347" i="1"/>
  <c r="I347" i="1"/>
  <c r="H347" i="1"/>
  <c r="G347" i="1"/>
  <c r="F347" i="1"/>
  <c r="E347" i="1"/>
  <c r="N346" i="1"/>
  <c r="L346" i="1"/>
  <c r="K346" i="1"/>
  <c r="J346" i="1"/>
  <c r="I346" i="1"/>
  <c r="H346" i="1"/>
  <c r="G346" i="1"/>
  <c r="F346" i="1"/>
  <c r="E346" i="1"/>
  <c r="N345" i="1"/>
  <c r="L345" i="1"/>
  <c r="K345" i="1"/>
  <c r="J345" i="1"/>
  <c r="I345" i="1"/>
  <c r="H345" i="1"/>
  <c r="G345" i="1"/>
  <c r="F345" i="1"/>
  <c r="E345" i="1"/>
  <c r="N344" i="1"/>
  <c r="L344" i="1"/>
  <c r="K344" i="1"/>
  <c r="J344" i="1"/>
  <c r="I344" i="1"/>
  <c r="H344" i="1"/>
  <c r="G344" i="1"/>
  <c r="F344" i="1"/>
  <c r="E344" i="1"/>
  <c r="N343" i="1"/>
  <c r="L343" i="1"/>
  <c r="K343" i="1"/>
  <c r="J343" i="1"/>
  <c r="I343" i="1"/>
  <c r="H343" i="1"/>
  <c r="G343" i="1"/>
  <c r="F343" i="1"/>
  <c r="E343" i="1"/>
  <c r="N342" i="1"/>
  <c r="L342" i="1"/>
  <c r="K342" i="1"/>
  <c r="J342" i="1"/>
  <c r="I342" i="1"/>
  <c r="H342" i="1"/>
  <c r="G342" i="1"/>
  <c r="F342" i="1"/>
  <c r="E342" i="1"/>
  <c r="N341" i="1"/>
  <c r="L341" i="1"/>
  <c r="K341" i="1"/>
  <c r="J341" i="1"/>
  <c r="I341" i="1"/>
  <c r="H341" i="1"/>
  <c r="G341" i="1"/>
  <c r="F341" i="1"/>
  <c r="E341" i="1"/>
  <c r="N340" i="1"/>
  <c r="L340" i="1"/>
  <c r="K340" i="1"/>
  <c r="J340" i="1"/>
  <c r="I340" i="1"/>
  <c r="H340" i="1"/>
  <c r="G340" i="1"/>
  <c r="F340" i="1"/>
  <c r="E340" i="1"/>
  <c r="N339" i="1"/>
  <c r="L339" i="1"/>
  <c r="K339" i="1"/>
  <c r="J339" i="1"/>
  <c r="I339" i="1"/>
  <c r="H339" i="1"/>
  <c r="G339" i="1"/>
  <c r="F339" i="1"/>
  <c r="E339" i="1"/>
  <c r="N338" i="1"/>
  <c r="L338" i="1"/>
  <c r="K338" i="1"/>
  <c r="J338" i="1"/>
  <c r="I338" i="1"/>
  <c r="H338" i="1"/>
  <c r="G338" i="1"/>
  <c r="F338" i="1"/>
  <c r="E338" i="1"/>
  <c r="N337" i="1"/>
  <c r="L337" i="1"/>
  <c r="K337" i="1"/>
  <c r="J337" i="1"/>
  <c r="I337" i="1"/>
  <c r="H337" i="1"/>
  <c r="G337" i="1"/>
  <c r="F337" i="1"/>
  <c r="E337" i="1"/>
  <c r="N336" i="1"/>
  <c r="L336" i="1"/>
  <c r="K336" i="1"/>
  <c r="J336" i="1"/>
  <c r="I336" i="1"/>
  <c r="H336" i="1"/>
  <c r="G336" i="1"/>
  <c r="F336" i="1"/>
  <c r="E336" i="1"/>
  <c r="N335" i="1"/>
  <c r="L335" i="1"/>
  <c r="K335" i="1"/>
  <c r="J335" i="1"/>
  <c r="I335" i="1"/>
  <c r="H335" i="1"/>
  <c r="G335" i="1"/>
  <c r="F335" i="1"/>
  <c r="E335" i="1"/>
  <c r="N334" i="1"/>
  <c r="L334" i="1"/>
  <c r="K334" i="1"/>
  <c r="J334" i="1"/>
  <c r="I334" i="1"/>
  <c r="H334" i="1"/>
  <c r="G334" i="1"/>
  <c r="F334" i="1"/>
  <c r="E334" i="1"/>
  <c r="N333" i="1"/>
  <c r="L333" i="1"/>
  <c r="K333" i="1"/>
  <c r="J333" i="1"/>
  <c r="I333" i="1"/>
  <c r="H333" i="1"/>
  <c r="G333" i="1"/>
  <c r="F333" i="1"/>
  <c r="E333" i="1"/>
  <c r="N332" i="1"/>
  <c r="L332" i="1"/>
  <c r="K332" i="1"/>
  <c r="J332" i="1"/>
  <c r="I332" i="1"/>
  <c r="H332" i="1"/>
  <c r="G332" i="1"/>
  <c r="F332" i="1"/>
  <c r="E332" i="1"/>
  <c r="N331" i="1"/>
  <c r="L331" i="1"/>
  <c r="K331" i="1"/>
  <c r="J331" i="1"/>
  <c r="I331" i="1"/>
  <c r="H331" i="1"/>
  <c r="G331" i="1"/>
  <c r="F331" i="1"/>
  <c r="E331" i="1"/>
  <c r="N330" i="1"/>
  <c r="L330" i="1"/>
  <c r="K330" i="1"/>
  <c r="J330" i="1"/>
  <c r="I330" i="1"/>
  <c r="H330" i="1"/>
  <c r="G330" i="1"/>
  <c r="F330" i="1"/>
  <c r="E330" i="1"/>
  <c r="N329" i="1"/>
  <c r="L329" i="1"/>
  <c r="K329" i="1"/>
  <c r="J329" i="1"/>
  <c r="I329" i="1"/>
  <c r="H329" i="1"/>
  <c r="G329" i="1"/>
  <c r="F329" i="1"/>
  <c r="E329" i="1"/>
  <c r="N328" i="1"/>
  <c r="L328" i="1"/>
  <c r="K328" i="1"/>
  <c r="J328" i="1"/>
  <c r="I328" i="1"/>
  <c r="H328" i="1"/>
  <c r="G328" i="1"/>
  <c r="F328" i="1"/>
  <c r="E328" i="1"/>
  <c r="N327" i="1"/>
  <c r="L327" i="1"/>
  <c r="K327" i="1"/>
  <c r="J327" i="1"/>
  <c r="I327" i="1"/>
  <c r="H327" i="1"/>
  <c r="G327" i="1"/>
  <c r="F327" i="1"/>
  <c r="E327" i="1"/>
  <c r="N326" i="1"/>
  <c r="L326" i="1"/>
  <c r="K326" i="1"/>
  <c r="J326" i="1"/>
  <c r="I326" i="1"/>
  <c r="H326" i="1"/>
  <c r="G326" i="1"/>
  <c r="F326" i="1"/>
  <c r="E326" i="1"/>
  <c r="N325" i="1"/>
  <c r="L325" i="1"/>
  <c r="K325" i="1"/>
  <c r="J325" i="1"/>
  <c r="I325" i="1"/>
  <c r="H325" i="1"/>
  <c r="G325" i="1"/>
  <c r="F325" i="1"/>
  <c r="E325" i="1"/>
  <c r="N324" i="1"/>
  <c r="L324" i="1"/>
  <c r="K324" i="1"/>
  <c r="J324" i="1"/>
  <c r="I324" i="1"/>
  <c r="H324" i="1"/>
  <c r="G324" i="1"/>
  <c r="F324" i="1"/>
  <c r="E324" i="1"/>
  <c r="N323" i="1"/>
  <c r="L323" i="1"/>
  <c r="K323" i="1"/>
  <c r="J323" i="1"/>
  <c r="I323" i="1"/>
  <c r="H323" i="1"/>
  <c r="G323" i="1"/>
  <c r="F323" i="1"/>
  <c r="E323" i="1"/>
  <c r="N322" i="1"/>
  <c r="L322" i="1"/>
  <c r="K322" i="1"/>
  <c r="J322" i="1"/>
  <c r="I322" i="1"/>
  <c r="H322" i="1"/>
  <c r="G322" i="1"/>
  <c r="F322" i="1"/>
  <c r="E322" i="1"/>
  <c r="N321" i="1"/>
  <c r="L321" i="1"/>
  <c r="K321" i="1"/>
  <c r="J321" i="1"/>
  <c r="I321" i="1"/>
  <c r="H321" i="1"/>
  <c r="G321" i="1"/>
  <c r="F321" i="1"/>
  <c r="E321" i="1"/>
  <c r="N320" i="1"/>
  <c r="L320" i="1"/>
  <c r="K320" i="1"/>
  <c r="J320" i="1"/>
  <c r="I320" i="1"/>
  <c r="H320" i="1"/>
  <c r="G320" i="1"/>
  <c r="F320" i="1"/>
  <c r="E320" i="1"/>
  <c r="N319" i="1"/>
  <c r="L319" i="1"/>
  <c r="K319" i="1"/>
  <c r="J319" i="1"/>
  <c r="I319" i="1"/>
  <c r="H319" i="1"/>
  <c r="G319" i="1"/>
  <c r="F319" i="1"/>
  <c r="E319" i="1"/>
  <c r="N318" i="1"/>
  <c r="L318" i="1"/>
  <c r="K318" i="1"/>
  <c r="J318" i="1"/>
  <c r="I318" i="1"/>
  <c r="H318" i="1"/>
  <c r="G318" i="1"/>
  <c r="F318" i="1"/>
  <c r="E318" i="1"/>
  <c r="N317" i="1"/>
  <c r="L317" i="1"/>
  <c r="K317" i="1"/>
  <c r="J317" i="1"/>
  <c r="I317" i="1"/>
  <c r="H317" i="1"/>
  <c r="G317" i="1"/>
  <c r="F317" i="1"/>
  <c r="E317" i="1"/>
  <c r="N316" i="1"/>
  <c r="L316" i="1"/>
  <c r="K316" i="1"/>
  <c r="J316" i="1"/>
  <c r="I316" i="1"/>
  <c r="H316" i="1"/>
  <c r="G316" i="1"/>
  <c r="F316" i="1"/>
  <c r="E316" i="1"/>
  <c r="N315" i="1"/>
  <c r="L315" i="1"/>
  <c r="K315" i="1"/>
  <c r="J315" i="1"/>
  <c r="I315" i="1"/>
  <c r="H315" i="1"/>
  <c r="G315" i="1"/>
  <c r="F315" i="1"/>
  <c r="E315" i="1"/>
  <c r="N314" i="1"/>
  <c r="L314" i="1"/>
  <c r="K314" i="1"/>
  <c r="J314" i="1"/>
  <c r="I314" i="1"/>
  <c r="H314" i="1"/>
  <c r="G314" i="1"/>
  <c r="F314" i="1"/>
  <c r="E314" i="1"/>
  <c r="N313" i="1"/>
  <c r="L313" i="1"/>
  <c r="K313" i="1"/>
  <c r="J313" i="1"/>
  <c r="I313" i="1"/>
  <c r="H313" i="1"/>
  <c r="G313" i="1"/>
  <c r="F313" i="1"/>
  <c r="E313" i="1"/>
  <c r="N312" i="1"/>
  <c r="L312" i="1"/>
  <c r="K312" i="1"/>
  <c r="J312" i="1"/>
  <c r="I312" i="1"/>
  <c r="H312" i="1"/>
  <c r="G312" i="1"/>
  <c r="F312" i="1"/>
  <c r="E312" i="1"/>
  <c r="N311" i="1"/>
  <c r="L311" i="1"/>
  <c r="K311" i="1"/>
  <c r="J311" i="1"/>
  <c r="I311" i="1"/>
  <c r="H311" i="1"/>
  <c r="G311" i="1"/>
  <c r="F311" i="1"/>
  <c r="E311" i="1"/>
  <c r="N310" i="1"/>
  <c r="L310" i="1"/>
  <c r="K310" i="1"/>
  <c r="J310" i="1"/>
  <c r="I310" i="1"/>
  <c r="H310" i="1"/>
  <c r="G310" i="1"/>
  <c r="F310" i="1"/>
  <c r="E310" i="1"/>
  <c r="N309" i="1"/>
  <c r="L309" i="1"/>
  <c r="K309" i="1"/>
  <c r="J309" i="1"/>
  <c r="I309" i="1"/>
  <c r="H309" i="1"/>
  <c r="G309" i="1"/>
  <c r="F309" i="1"/>
  <c r="E309" i="1"/>
  <c r="N308" i="1"/>
  <c r="L308" i="1"/>
  <c r="K308" i="1"/>
  <c r="J308" i="1"/>
  <c r="I308" i="1"/>
  <c r="H308" i="1"/>
  <c r="G308" i="1"/>
  <c r="F308" i="1"/>
  <c r="E308" i="1"/>
  <c r="N307" i="1"/>
  <c r="L307" i="1"/>
  <c r="K307" i="1"/>
  <c r="J307" i="1"/>
  <c r="I307" i="1"/>
  <c r="H307" i="1"/>
  <c r="G307" i="1"/>
  <c r="F307" i="1"/>
  <c r="E307" i="1"/>
  <c r="N306" i="1"/>
  <c r="L306" i="1"/>
  <c r="K306" i="1"/>
  <c r="J306" i="1"/>
  <c r="I306" i="1"/>
  <c r="H306" i="1"/>
  <c r="G306" i="1"/>
  <c r="F306" i="1"/>
  <c r="E306" i="1"/>
  <c r="N305" i="1"/>
  <c r="L305" i="1"/>
  <c r="K305" i="1"/>
  <c r="J305" i="1"/>
  <c r="I305" i="1"/>
  <c r="H305" i="1"/>
  <c r="G305" i="1"/>
  <c r="F305" i="1"/>
  <c r="E305" i="1"/>
  <c r="N304" i="1"/>
  <c r="L304" i="1"/>
  <c r="K304" i="1"/>
  <c r="J304" i="1"/>
  <c r="I304" i="1"/>
  <c r="H304" i="1"/>
  <c r="G304" i="1"/>
  <c r="F304" i="1"/>
  <c r="E304" i="1"/>
  <c r="N303" i="1"/>
  <c r="L303" i="1"/>
  <c r="K303" i="1"/>
  <c r="J303" i="1"/>
  <c r="I303" i="1"/>
  <c r="H303" i="1"/>
  <c r="G303" i="1"/>
  <c r="F303" i="1"/>
  <c r="E303" i="1"/>
  <c r="N302" i="1"/>
  <c r="L302" i="1"/>
  <c r="K302" i="1"/>
  <c r="J302" i="1"/>
  <c r="I302" i="1"/>
  <c r="H302" i="1"/>
  <c r="G302" i="1"/>
  <c r="F302" i="1"/>
  <c r="E302" i="1"/>
  <c r="N301" i="1"/>
  <c r="L301" i="1"/>
  <c r="K301" i="1"/>
  <c r="J301" i="1"/>
  <c r="I301" i="1"/>
  <c r="H301" i="1"/>
  <c r="G301" i="1"/>
  <c r="F301" i="1"/>
  <c r="E301" i="1"/>
  <c r="N300" i="1"/>
  <c r="L300" i="1"/>
  <c r="K300" i="1"/>
  <c r="J300" i="1"/>
  <c r="I300" i="1"/>
  <c r="H300" i="1"/>
  <c r="G300" i="1"/>
  <c r="F300" i="1"/>
  <c r="E300" i="1"/>
  <c r="N299" i="1"/>
  <c r="L299" i="1"/>
  <c r="K299" i="1"/>
  <c r="J299" i="1"/>
  <c r="I299" i="1"/>
  <c r="H299" i="1"/>
  <c r="G299" i="1"/>
  <c r="F299" i="1"/>
  <c r="E299" i="1"/>
  <c r="N298" i="1"/>
  <c r="L298" i="1"/>
  <c r="K298" i="1"/>
  <c r="J298" i="1"/>
  <c r="I298" i="1"/>
  <c r="H298" i="1"/>
  <c r="G298" i="1"/>
  <c r="F298" i="1"/>
  <c r="E298" i="1"/>
  <c r="N297" i="1"/>
  <c r="L297" i="1"/>
  <c r="K297" i="1"/>
  <c r="J297" i="1"/>
  <c r="I297" i="1"/>
  <c r="H297" i="1"/>
  <c r="G297" i="1"/>
  <c r="F297" i="1"/>
  <c r="E297" i="1"/>
  <c r="N296" i="1"/>
  <c r="L296" i="1"/>
  <c r="K296" i="1"/>
  <c r="J296" i="1"/>
  <c r="I296" i="1"/>
  <c r="H296" i="1"/>
  <c r="G296" i="1"/>
  <c r="F296" i="1"/>
  <c r="E296" i="1"/>
  <c r="N295" i="1"/>
  <c r="L295" i="1"/>
  <c r="K295" i="1"/>
  <c r="J295" i="1"/>
  <c r="I295" i="1"/>
  <c r="H295" i="1"/>
  <c r="G295" i="1"/>
  <c r="F295" i="1"/>
  <c r="E295" i="1"/>
  <c r="N294" i="1"/>
  <c r="L294" i="1"/>
  <c r="K294" i="1"/>
  <c r="J294" i="1"/>
  <c r="I294" i="1"/>
  <c r="H294" i="1"/>
  <c r="G294" i="1"/>
  <c r="F294" i="1"/>
  <c r="E294" i="1"/>
  <c r="N293" i="1"/>
  <c r="L293" i="1"/>
  <c r="K293" i="1"/>
  <c r="J293" i="1"/>
  <c r="I293" i="1"/>
  <c r="H293" i="1"/>
  <c r="G293" i="1"/>
  <c r="F293" i="1"/>
  <c r="E293" i="1"/>
  <c r="N292" i="1"/>
  <c r="L292" i="1"/>
  <c r="K292" i="1"/>
  <c r="J292" i="1"/>
  <c r="I292" i="1"/>
  <c r="H292" i="1"/>
  <c r="G292" i="1"/>
  <c r="F292" i="1"/>
  <c r="E292" i="1"/>
  <c r="N291" i="1"/>
  <c r="L291" i="1"/>
  <c r="K291" i="1"/>
  <c r="J291" i="1"/>
  <c r="I291" i="1"/>
  <c r="H291" i="1"/>
  <c r="G291" i="1"/>
  <c r="F291" i="1"/>
  <c r="E291" i="1"/>
  <c r="N290" i="1"/>
  <c r="L290" i="1"/>
  <c r="K290" i="1"/>
  <c r="J290" i="1"/>
  <c r="I290" i="1"/>
  <c r="H290" i="1"/>
  <c r="G290" i="1"/>
  <c r="F290" i="1"/>
  <c r="E290" i="1"/>
  <c r="N289" i="1"/>
  <c r="L289" i="1"/>
  <c r="K289" i="1"/>
  <c r="J289" i="1"/>
  <c r="I289" i="1"/>
  <c r="H289" i="1"/>
  <c r="G289" i="1"/>
  <c r="F289" i="1"/>
  <c r="E289" i="1"/>
  <c r="N288" i="1"/>
  <c r="L288" i="1"/>
  <c r="K288" i="1"/>
  <c r="J288" i="1"/>
  <c r="I288" i="1"/>
  <c r="H288" i="1"/>
  <c r="G288" i="1"/>
  <c r="F288" i="1"/>
  <c r="E288" i="1"/>
  <c r="N287" i="1"/>
  <c r="L287" i="1"/>
  <c r="K287" i="1"/>
  <c r="J287" i="1"/>
  <c r="I287" i="1"/>
  <c r="H287" i="1"/>
  <c r="G287" i="1"/>
  <c r="F287" i="1"/>
  <c r="E287" i="1"/>
  <c r="N286" i="1"/>
  <c r="L286" i="1"/>
  <c r="K286" i="1"/>
  <c r="J286" i="1"/>
  <c r="I286" i="1"/>
  <c r="H286" i="1"/>
  <c r="G286" i="1"/>
  <c r="F286" i="1"/>
  <c r="E286" i="1"/>
  <c r="N285" i="1"/>
  <c r="L285" i="1"/>
  <c r="K285" i="1"/>
  <c r="J285" i="1"/>
  <c r="I285" i="1"/>
  <c r="H285" i="1"/>
  <c r="G285" i="1"/>
  <c r="F285" i="1"/>
  <c r="E285" i="1"/>
  <c r="N284" i="1"/>
  <c r="L284" i="1"/>
  <c r="K284" i="1"/>
  <c r="J284" i="1"/>
  <c r="I284" i="1"/>
  <c r="H284" i="1"/>
  <c r="G284" i="1"/>
  <c r="F284" i="1"/>
  <c r="E284" i="1"/>
  <c r="N283" i="1"/>
  <c r="L283" i="1"/>
  <c r="K283" i="1"/>
  <c r="J283" i="1"/>
  <c r="I283" i="1"/>
  <c r="H283" i="1"/>
  <c r="G283" i="1"/>
  <c r="F283" i="1"/>
  <c r="E283" i="1"/>
  <c r="N282" i="1"/>
  <c r="L282" i="1"/>
  <c r="K282" i="1"/>
  <c r="J282" i="1"/>
  <c r="I282" i="1"/>
  <c r="H282" i="1"/>
  <c r="G282" i="1"/>
  <c r="F282" i="1"/>
  <c r="E282" i="1"/>
  <c r="N281" i="1"/>
  <c r="L281" i="1"/>
  <c r="K281" i="1"/>
  <c r="J281" i="1"/>
  <c r="I281" i="1"/>
  <c r="H281" i="1"/>
  <c r="G281" i="1"/>
  <c r="F281" i="1"/>
  <c r="E281" i="1"/>
  <c r="N280" i="1"/>
  <c r="L280" i="1"/>
  <c r="K280" i="1"/>
  <c r="J280" i="1"/>
  <c r="I280" i="1"/>
  <c r="H280" i="1"/>
  <c r="G280" i="1"/>
  <c r="F280" i="1"/>
  <c r="E280" i="1"/>
  <c r="N279" i="1"/>
  <c r="L279" i="1"/>
  <c r="K279" i="1"/>
  <c r="J279" i="1"/>
  <c r="I279" i="1"/>
  <c r="H279" i="1"/>
  <c r="G279" i="1"/>
  <c r="F279" i="1"/>
  <c r="E279" i="1"/>
  <c r="N278" i="1"/>
  <c r="L278" i="1"/>
  <c r="K278" i="1"/>
  <c r="J278" i="1"/>
  <c r="I278" i="1"/>
  <c r="H278" i="1"/>
  <c r="G278" i="1"/>
  <c r="F278" i="1"/>
  <c r="E278" i="1"/>
  <c r="N277" i="1"/>
  <c r="L277" i="1"/>
  <c r="K277" i="1"/>
  <c r="J277" i="1"/>
  <c r="I277" i="1"/>
  <c r="H277" i="1"/>
  <c r="G277" i="1"/>
  <c r="F277" i="1"/>
  <c r="E277" i="1"/>
  <c r="N276" i="1"/>
  <c r="L276" i="1"/>
  <c r="K276" i="1"/>
  <c r="J276" i="1"/>
  <c r="I276" i="1"/>
  <c r="H276" i="1"/>
  <c r="G276" i="1"/>
  <c r="F276" i="1"/>
  <c r="E276" i="1"/>
  <c r="N275" i="1"/>
  <c r="L275" i="1"/>
  <c r="K275" i="1"/>
  <c r="J275" i="1"/>
  <c r="I275" i="1"/>
  <c r="H275" i="1"/>
  <c r="G275" i="1"/>
  <c r="F275" i="1"/>
  <c r="E275" i="1"/>
  <c r="N274" i="1"/>
  <c r="L274" i="1"/>
  <c r="K274" i="1"/>
  <c r="J274" i="1"/>
  <c r="I274" i="1"/>
  <c r="H274" i="1"/>
  <c r="G274" i="1"/>
  <c r="F274" i="1"/>
  <c r="E274" i="1"/>
  <c r="N273" i="1"/>
  <c r="L273" i="1"/>
  <c r="K273" i="1"/>
  <c r="J273" i="1"/>
  <c r="I273" i="1"/>
  <c r="H273" i="1"/>
  <c r="G273" i="1"/>
  <c r="F273" i="1"/>
  <c r="E273" i="1"/>
  <c r="N272" i="1"/>
  <c r="L272" i="1"/>
  <c r="K272" i="1"/>
  <c r="J272" i="1"/>
  <c r="I272" i="1"/>
  <c r="H272" i="1"/>
  <c r="G272" i="1"/>
  <c r="F272" i="1"/>
  <c r="E272" i="1"/>
  <c r="N271" i="1"/>
  <c r="L271" i="1"/>
  <c r="K271" i="1"/>
  <c r="J271" i="1"/>
  <c r="I271" i="1"/>
  <c r="H271" i="1"/>
  <c r="G271" i="1"/>
  <c r="F271" i="1"/>
  <c r="E271" i="1"/>
  <c r="N270" i="1"/>
  <c r="L270" i="1"/>
  <c r="K270" i="1"/>
  <c r="J270" i="1"/>
  <c r="I270" i="1"/>
  <c r="H270" i="1"/>
  <c r="G270" i="1"/>
  <c r="F270" i="1"/>
  <c r="E270" i="1"/>
  <c r="N269" i="1"/>
  <c r="L269" i="1"/>
  <c r="K269" i="1"/>
  <c r="J269" i="1"/>
  <c r="I269" i="1"/>
  <c r="H269" i="1"/>
  <c r="G269" i="1"/>
  <c r="F269" i="1"/>
  <c r="E269" i="1"/>
  <c r="N268" i="1"/>
  <c r="L268" i="1"/>
  <c r="K268" i="1"/>
  <c r="J268" i="1"/>
  <c r="I268" i="1"/>
  <c r="H268" i="1"/>
  <c r="G268" i="1"/>
  <c r="F268" i="1"/>
  <c r="E268" i="1"/>
  <c r="N267" i="1"/>
  <c r="L267" i="1"/>
  <c r="K267" i="1"/>
  <c r="J267" i="1"/>
  <c r="I267" i="1"/>
  <c r="H267" i="1"/>
  <c r="G267" i="1"/>
  <c r="F267" i="1"/>
  <c r="E267" i="1"/>
  <c r="N266" i="1"/>
  <c r="L266" i="1"/>
  <c r="K266" i="1"/>
  <c r="J266" i="1"/>
  <c r="I266" i="1"/>
  <c r="H266" i="1"/>
  <c r="G266" i="1"/>
  <c r="F266" i="1"/>
  <c r="E266" i="1"/>
  <c r="N265" i="1"/>
  <c r="L265" i="1"/>
  <c r="K265" i="1"/>
  <c r="J265" i="1"/>
  <c r="I265" i="1"/>
  <c r="H265" i="1"/>
  <c r="G265" i="1"/>
  <c r="F265" i="1"/>
  <c r="E265" i="1"/>
  <c r="N264" i="1"/>
  <c r="L264" i="1"/>
  <c r="K264" i="1"/>
  <c r="J264" i="1"/>
  <c r="I264" i="1"/>
  <c r="H264" i="1"/>
  <c r="G264" i="1"/>
  <c r="F264" i="1"/>
  <c r="E264" i="1"/>
  <c r="N263" i="1"/>
  <c r="L263" i="1"/>
  <c r="K263" i="1"/>
  <c r="J263" i="1"/>
  <c r="I263" i="1"/>
  <c r="H263" i="1"/>
  <c r="G263" i="1"/>
  <c r="F263" i="1"/>
  <c r="E263" i="1"/>
  <c r="N262" i="1"/>
  <c r="L262" i="1"/>
  <c r="K262" i="1"/>
  <c r="J262" i="1"/>
  <c r="I262" i="1"/>
  <c r="H262" i="1"/>
  <c r="G262" i="1"/>
  <c r="F262" i="1"/>
  <c r="E262" i="1"/>
  <c r="N261" i="1"/>
  <c r="L261" i="1"/>
  <c r="K261" i="1"/>
  <c r="J261" i="1"/>
  <c r="I261" i="1"/>
  <c r="H261" i="1"/>
  <c r="G261" i="1"/>
  <c r="F261" i="1"/>
  <c r="E261" i="1"/>
  <c r="N260" i="1"/>
  <c r="L260" i="1"/>
  <c r="K260" i="1"/>
  <c r="J260" i="1"/>
  <c r="I260" i="1"/>
  <c r="H260" i="1"/>
  <c r="G260" i="1"/>
  <c r="F260" i="1"/>
  <c r="E260" i="1"/>
  <c r="N259" i="1"/>
  <c r="L259" i="1"/>
  <c r="K259" i="1"/>
  <c r="J259" i="1"/>
  <c r="I259" i="1"/>
  <c r="H259" i="1"/>
  <c r="G259" i="1"/>
  <c r="F259" i="1"/>
  <c r="E259" i="1"/>
  <c r="N258" i="1"/>
  <c r="L258" i="1"/>
  <c r="K258" i="1"/>
  <c r="J258" i="1"/>
  <c r="I258" i="1"/>
  <c r="H258" i="1"/>
  <c r="G258" i="1"/>
  <c r="F258" i="1"/>
  <c r="E258" i="1"/>
  <c r="N257" i="1"/>
  <c r="L257" i="1"/>
  <c r="K257" i="1"/>
  <c r="J257" i="1"/>
  <c r="I257" i="1"/>
  <c r="H257" i="1"/>
  <c r="G257" i="1"/>
  <c r="F257" i="1"/>
  <c r="E257" i="1"/>
  <c r="N256" i="1"/>
  <c r="L256" i="1"/>
  <c r="K256" i="1"/>
  <c r="J256" i="1"/>
  <c r="I256" i="1"/>
  <c r="H256" i="1"/>
  <c r="G256" i="1"/>
  <c r="F256" i="1"/>
  <c r="E256" i="1"/>
  <c r="N255" i="1"/>
  <c r="L255" i="1"/>
  <c r="K255" i="1"/>
  <c r="J255" i="1"/>
  <c r="I255" i="1"/>
  <c r="H255" i="1"/>
  <c r="G255" i="1"/>
  <c r="F255" i="1"/>
  <c r="E255" i="1"/>
  <c r="N254" i="1"/>
  <c r="L254" i="1"/>
  <c r="K254" i="1"/>
  <c r="J254" i="1"/>
  <c r="I254" i="1"/>
  <c r="H254" i="1"/>
  <c r="G254" i="1"/>
  <c r="F254" i="1"/>
  <c r="E254" i="1"/>
  <c r="N253" i="1"/>
  <c r="L253" i="1"/>
  <c r="K253" i="1"/>
  <c r="J253" i="1"/>
  <c r="I253" i="1"/>
  <c r="H253" i="1"/>
  <c r="G253" i="1"/>
  <c r="F253" i="1"/>
  <c r="E253" i="1"/>
  <c r="N252" i="1"/>
  <c r="L252" i="1"/>
  <c r="K252" i="1"/>
  <c r="J252" i="1"/>
  <c r="I252" i="1"/>
  <c r="H252" i="1"/>
  <c r="G252" i="1"/>
  <c r="F252" i="1"/>
  <c r="E252" i="1"/>
  <c r="N251" i="1"/>
  <c r="L251" i="1"/>
  <c r="K251" i="1"/>
  <c r="J251" i="1"/>
  <c r="I251" i="1"/>
  <c r="H251" i="1"/>
  <c r="G251" i="1"/>
  <c r="F251" i="1"/>
  <c r="E251" i="1"/>
  <c r="N250" i="1"/>
  <c r="L250" i="1"/>
  <c r="K250" i="1"/>
  <c r="J250" i="1"/>
  <c r="I250" i="1"/>
  <c r="H250" i="1"/>
  <c r="G250" i="1"/>
  <c r="F250" i="1"/>
  <c r="E250" i="1"/>
  <c r="N249" i="1"/>
  <c r="L249" i="1"/>
  <c r="K249" i="1"/>
  <c r="J249" i="1"/>
  <c r="I249" i="1"/>
  <c r="H249" i="1"/>
  <c r="G249" i="1"/>
  <c r="F249" i="1"/>
  <c r="E249" i="1"/>
  <c r="N248" i="1"/>
  <c r="L248" i="1"/>
  <c r="K248" i="1"/>
  <c r="J248" i="1"/>
  <c r="I248" i="1"/>
  <c r="H248" i="1"/>
  <c r="G248" i="1"/>
  <c r="F248" i="1"/>
  <c r="E248" i="1"/>
  <c r="N247" i="1"/>
  <c r="L247" i="1"/>
  <c r="K247" i="1"/>
  <c r="J247" i="1"/>
  <c r="I247" i="1"/>
  <c r="H247" i="1"/>
  <c r="G247" i="1"/>
  <c r="F247" i="1"/>
  <c r="E247" i="1"/>
  <c r="N246" i="1"/>
  <c r="L246" i="1"/>
  <c r="K246" i="1"/>
  <c r="J246" i="1"/>
  <c r="I246" i="1"/>
  <c r="H246" i="1"/>
  <c r="G246" i="1"/>
  <c r="F246" i="1"/>
  <c r="E246" i="1"/>
  <c r="N245" i="1"/>
  <c r="L245" i="1"/>
  <c r="K245" i="1"/>
  <c r="J245" i="1"/>
  <c r="I245" i="1"/>
  <c r="H245" i="1"/>
  <c r="G245" i="1"/>
  <c r="F245" i="1"/>
  <c r="E245" i="1"/>
  <c r="N244" i="1"/>
  <c r="L244" i="1"/>
  <c r="K244" i="1"/>
  <c r="J244" i="1"/>
  <c r="I244" i="1"/>
  <c r="H244" i="1"/>
  <c r="G244" i="1"/>
  <c r="F244" i="1"/>
  <c r="E244" i="1"/>
  <c r="N243" i="1"/>
  <c r="L243" i="1"/>
  <c r="K243" i="1"/>
  <c r="J243" i="1"/>
  <c r="I243" i="1"/>
  <c r="H243" i="1"/>
  <c r="G243" i="1"/>
  <c r="F243" i="1"/>
  <c r="E243" i="1"/>
  <c r="N242" i="1"/>
  <c r="L242" i="1"/>
  <c r="K242" i="1"/>
  <c r="J242" i="1"/>
  <c r="I242" i="1"/>
  <c r="H242" i="1"/>
  <c r="G242" i="1"/>
  <c r="F242" i="1"/>
  <c r="E242" i="1"/>
  <c r="N241" i="1"/>
  <c r="L241" i="1"/>
  <c r="K241" i="1"/>
  <c r="J241" i="1"/>
  <c r="I241" i="1"/>
  <c r="H241" i="1"/>
  <c r="G241" i="1"/>
  <c r="F241" i="1"/>
  <c r="E241" i="1"/>
  <c r="N240" i="1"/>
  <c r="L240" i="1"/>
  <c r="K240" i="1"/>
  <c r="J240" i="1"/>
  <c r="I240" i="1"/>
  <c r="H240" i="1"/>
  <c r="G240" i="1"/>
  <c r="F240" i="1"/>
  <c r="E240" i="1"/>
  <c r="N239" i="1"/>
  <c r="L239" i="1"/>
  <c r="K239" i="1"/>
  <c r="J239" i="1"/>
  <c r="I239" i="1"/>
  <c r="H239" i="1"/>
  <c r="G239" i="1"/>
  <c r="F239" i="1"/>
  <c r="E239" i="1"/>
  <c r="N238" i="1"/>
  <c r="L238" i="1"/>
  <c r="K238" i="1"/>
  <c r="J238" i="1"/>
  <c r="I238" i="1"/>
  <c r="H238" i="1"/>
  <c r="G238" i="1"/>
  <c r="F238" i="1"/>
  <c r="E238" i="1"/>
  <c r="N237" i="1"/>
  <c r="L237" i="1"/>
  <c r="K237" i="1"/>
  <c r="J237" i="1"/>
  <c r="I237" i="1"/>
  <c r="H237" i="1"/>
  <c r="G237" i="1"/>
  <c r="F237" i="1"/>
  <c r="E237" i="1"/>
  <c r="N236" i="1"/>
  <c r="L236" i="1"/>
  <c r="K236" i="1"/>
  <c r="J236" i="1"/>
  <c r="I236" i="1"/>
  <c r="H236" i="1"/>
  <c r="G236" i="1"/>
  <c r="F236" i="1"/>
  <c r="E236" i="1"/>
  <c r="N235" i="1"/>
  <c r="L235" i="1"/>
  <c r="K235" i="1"/>
  <c r="J235" i="1"/>
  <c r="I235" i="1"/>
  <c r="H235" i="1"/>
  <c r="G235" i="1"/>
  <c r="F235" i="1"/>
  <c r="E235" i="1"/>
  <c r="N234" i="1"/>
  <c r="L234" i="1"/>
  <c r="K234" i="1"/>
  <c r="J234" i="1"/>
  <c r="I234" i="1"/>
  <c r="H234" i="1"/>
  <c r="G234" i="1"/>
  <c r="F234" i="1"/>
  <c r="E234" i="1"/>
  <c r="N233" i="1"/>
  <c r="L233" i="1"/>
  <c r="K233" i="1"/>
  <c r="J233" i="1"/>
  <c r="I233" i="1"/>
  <c r="H233" i="1"/>
  <c r="G233" i="1"/>
  <c r="F233" i="1"/>
  <c r="E233" i="1"/>
  <c r="N232" i="1"/>
  <c r="L232" i="1"/>
  <c r="K232" i="1"/>
  <c r="J232" i="1"/>
  <c r="I232" i="1"/>
  <c r="H232" i="1"/>
  <c r="G232" i="1"/>
  <c r="F232" i="1"/>
  <c r="E232" i="1"/>
  <c r="N231" i="1"/>
  <c r="L231" i="1"/>
  <c r="K231" i="1"/>
  <c r="J231" i="1"/>
  <c r="I231" i="1"/>
  <c r="H231" i="1"/>
  <c r="G231" i="1"/>
  <c r="F231" i="1"/>
  <c r="E231" i="1"/>
  <c r="N230" i="1"/>
  <c r="L230" i="1"/>
  <c r="K230" i="1"/>
  <c r="J230" i="1"/>
  <c r="I230" i="1"/>
  <c r="H230" i="1"/>
  <c r="G230" i="1"/>
  <c r="F230" i="1"/>
  <c r="E230" i="1"/>
  <c r="N229" i="1"/>
  <c r="L229" i="1"/>
  <c r="K229" i="1"/>
  <c r="J229" i="1"/>
  <c r="I229" i="1"/>
  <c r="H229" i="1"/>
  <c r="G229" i="1"/>
  <c r="F229" i="1"/>
  <c r="E229" i="1"/>
  <c r="N228" i="1"/>
  <c r="K228" i="1"/>
  <c r="J228" i="1"/>
  <c r="I228" i="1"/>
  <c r="H228" i="1"/>
  <c r="G228" i="1"/>
  <c r="F228" i="1"/>
  <c r="E228" i="1"/>
  <c r="N227" i="1"/>
  <c r="L227" i="1"/>
  <c r="K227" i="1"/>
  <c r="J227" i="1"/>
  <c r="I227" i="1"/>
  <c r="H227" i="1"/>
  <c r="G227" i="1"/>
  <c r="F227" i="1"/>
  <c r="E227" i="1"/>
  <c r="N226" i="1"/>
  <c r="L226" i="1"/>
  <c r="K226" i="1"/>
  <c r="J226" i="1"/>
  <c r="I226" i="1"/>
  <c r="H226" i="1"/>
  <c r="G226" i="1"/>
  <c r="F226" i="1"/>
  <c r="E226" i="1"/>
  <c r="N225" i="1"/>
  <c r="L225" i="1"/>
  <c r="K225" i="1"/>
  <c r="J225" i="1"/>
  <c r="I225" i="1"/>
  <c r="H225" i="1"/>
  <c r="G225" i="1"/>
  <c r="F225" i="1"/>
  <c r="E225" i="1"/>
  <c r="N224" i="1"/>
  <c r="L224" i="1"/>
  <c r="K224" i="1"/>
  <c r="J224" i="1"/>
  <c r="I224" i="1"/>
  <c r="H224" i="1"/>
  <c r="G224" i="1"/>
  <c r="F224" i="1"/>
  <c r="E224" i="1"/>
  <c r="N223" i="1"/>
  <c r="L223" i="1"/>
  <c r="K223" i="1"/>
  <c r="J223" i="1"/>
  <c r="I223" i="1"/>
  <c r="H223" i="1"/>
  <c r="G223" i="1"/>
  <c r="F223" i="1"/>
  <c r="E223" i="1"/>
  <c r="N222" i="1"/>
  <c r="L222" i="1"/>
  <c r="K222" i="1"/>
  <c r="J222" i="1"/>
  <c r="I222" i="1"/>
  <c r="H222" i="1"/>
  <c r="G222" i="1"/>
  <c r="F222" i="1"/>
  <c r="E222" i="1"/>
  <c r="N221" i="1"/>
  <c r="L221" i="1"/>
  <c r="K221" i="1"/>
  <c r="J221" i="1"/>
  <c r="I221" i="1"/>
  <c r="H221" i="1"/>
  <c r="G221" i="1"/>
  <c r="F221" i="1"/>
  <c r="E221" i="1"/>
  <c r="N220" i="1"/>
  <c r="L220" i="1"/>
  <c r="K220" i="1"/>
  <c r="J220" i="1"/>
  <c r="I220" i="1"/>
  <c r="H220" i="1"/>
  <c r="G220" i="1"/>
  <c r="F220" i="1"/>
  <c r="E220" i="1"/>
  <c r="N219" i="1"/>
  <c r="L219" i="1"/>
  <c r="K219" i="1"/>
  <c r="J219" i="1"/>
  <c r="I219" i="1"/>
  <c r="H219" i="1"/>
  <c r="G219" i="1"/>
  <c r="F219" i="1"/>
  <c r="E219" i="1"/>
  <c r="N218" i="1"/>
  <c r="L218" i="1"/>
  <c r="K218" i="1"/>
  <c r="J218" i="1"/>
  <c r="I218" i="1"/>
  <c r="H218" i="1"/>
  <c r="G218" i="1"/>
  <c r="F218" i="1"/>
  <c r="E218" i="1"/>
  <c r="N217" i="1"/>
  <c r="L217" i="1"/>
  <c r="K217" i="1"/>
  <c r="J217" i="1"/>
  <c r="I217" i="1"/>
  <c r="H217" i="1"/>
  <c r="G217" i="1"/>
  <c r="F217" i="1"/>
  <c r="E217" i="1"/>
  <c r="N216" i="1"/>
  <c r="L216" i="1"/>
  <c r="K216" i="1"/>
  <c r="J216" i="1"/>
  <c r="I216" i="1"/>
  <c r="H216" i="1"/>
  <c r="G216" i="1"/>
  <c r="F216" i="1"/>
  <c r="E216" i="1"/>
  <c r="N215" i="1"/>
  <c r="L215" i="1"/>
  <c r="K215" i="1"/>
  <c r="J215" i="1"/>
  <c r="I215" i="1"/>
  <c r="H215" i="1"/>
  <c r="G215" i="1"/>
  <c r="F215" i="1"/>
  <c r="E215" i="1"/>
  <c r="N214" i="1"/>
  <c r="L214" i="1"/>
  <c r="K214" i="1"/>
  <c r="J214" i="1"/>
  <c r="I214" i="1"/>
  <c r="H214" i="1"/>
  <c r="G214" i="1"/>
  <c r="F214" i="1"/>
  <c r="E214" i="1"/>
  <c r="N213" i="1"/>
  <c r="L213" i="1"/>
  <c r="K213" i="1"/>
  <c r="J213" i="1"/>
  <c r="I213" i="1"/>
  <c r="H213" i="1"/>
  <c r="G213" i="1"/>
  <c r="F213" i="1"/>
  <c r="E213" i="1"/>
  <c r="N212" i="1"/>
  <c r="L212" i="1"/>
  <c r="K212" i="1"/>
  <c r="J212" i="1"/>
  <c r="I212" i="1"/>
  <c r="H212" i="1"/>
  <c r="G212" i="1"/>
  <c r="F212" i="1"/>
  <c r="E212" i="1"/>
  <c r="N211" i="1"/>
  <c r="L211" i="1"/>
  <c r="K211" i="1"/>
  <c r="J211" i="1"/>
  <c r="I211" i="1"/>
  <c r="H211" i="1"/>
  <c r="G211" i="1"/>
  <c r="F211" i="1"/>
  <c r="E211" i="1"/>
  <c r="N210" i="1"/>
  <c r="L210" i="1"/>
  <c r="K210" i="1"/>
  <c r="J210" i="1"/>
  <c r="I210" i="1"/>
  <c r="H210" i="1"/>
  <c r="G210" i="1"/>
  <c r="F210" i="1"/>
  <c r="E210" i="1"/>
  <c r="N209" i="1"/>
  <c r="L209" i="1"/>
  <c r="K209" i="1"/>
  <c r="J209" i="1"/>
  <c r="I209" i="1"/>
  <c r="H209" i="1"/>
  <c r="G209" i="1"/>
  <c r="F209" i="1"/>
  <c r="E209" i="1"/>
  <c r="N208" i="1"/>
  <c r="L208" i="1"/>
  <c r="K208" i="1"/>
  <c r="J208" i="1"/>
  <c r="I208" i="1"/>
  <c r="H208" i="1"/>
  <c r="G208" i="1"/>
  <c r="F208" i="1"/>
  <c r="E208" i="1"/>
  <c r="N207" i="1"/>
  <c r="L207" i="1"/>
  <c r="K207" i="1"/>
  <c r="J207" i="1"/>
  <c r="I207" i="1"/>
  <c r="H207" i="1"/>
  <c r="G207" i="1"/>
  <c r="F207" i="1"/>
  <c r="E207" i="1"/>
  <c r="N206" i="1"/>
  <c r="L206" i="1"/>
  <c r="K206" i="1"/>
  <c r="J206" i="1"/>
  <c r="I206" i="1"/>
  <c r="H206" i="1"/>
  <c r="G206" i="1"/>
  <c r="F206" i="1"/>
  <c r="E206" i="1"/>
  <c r="N205" i="1"/>
  <c r="L205" i="1"/>
  <c r="K205" i="1"/>
  <c r="J205" i="1"/>
  <c r="I205" i="1"/>
  <c r="H205" i="1"/>
  <c r="G205" i="1"/>
  <c r="F205" i="1"/>
  <c r="E205" i="1"/>
  <c r="N204" i="1"/>
  <c r="L204" i="1"/>
  <c r="K204" i="1"/>
  <c r="J204" i="1"/>
  <c r="I204" i="1"/>
  <c r="H204" i="1"/>
  <c r="G204" i="1"/>
  <c r="F204" i="1"/>
  <c r="E204" i="1"/>
  <c r="N203" i="1"/>
  <c r="L203" i="1"/>
  <c r="K203" i="1"/>
  <c r="J203" i="1"/>
  <c r="I203" i="1"/>
  <c r="H203" i="1"/>
  <c r="G203" i="1"/>
  <c r="F203" i="1"/>
  <c r="E203" i="1"/>
  <c r="N202" i="1"/>
  <c r="L202" i="1"/>
  <c r="K202" i="1"/>
  <c r="J202" i="1"/>
  <c r="I202" i="1"/>
  <c r="H202" i="1"/>
  <c r="G202" i="1"/>
  <c r="F202" i="1"/>
  <c r="E202" i="1"/>
  <c r="N201" i="1"/>
  <c r="L201" i="1"/>
  <c r="K201" i="1"/>
  <c r="J201" i="1"/>
  <c r="I201" i="1"/>
  <c r="H201" i="1"/>
  <c r="G201" i="1"/>
  <c r="F201" i="1"/>
  <c r="E201" i="1"/>
  <c r="N200" i="1"/>
  <c r="L200" i="1"/>
  <c r="K200" i="1"/>
  <c r="J200" i="1"/>
  <c r="I200" i="1"/>
  <c r="H200" i="1"/>
  <c r="G200" i="1"/>
  <c r="F200" i="1"/>
  <c r="E200" i="1"/>
  <c r="N199" i="1"/>
  <c r="L199" i="1"/>
  <c r="K199" i="1"/>
  <c r="J199" i="1"/>
  <c r="I199" i="1"/>
  <c r="H199" i="1"/>
  <c r="G199" i="1"/>
  <c r="F199" i="1"/>
  <c r="E199" i="1"/>
  <c r="N198" i="1"/>
  <c r="L198" i="1"/>
  <c r="K198" i="1"/>
  <c r="J198" i="1"/>
  <c r="I198" i="1"/>
  <c r="H198" i="1"/>
  <c r="G198" i="1"/>
  <c r="F198" i="1"/>
  <c r="E198" i="1"/>
  <c r="N197" i="1"/>
  <c r="L197" i="1"/>
  <c r="K197" i="1"/>
  <c r="J197" i="1"/>
  <c r="I197" i="1"/>
  <c r="H197" i="1"/>
  <c r="G197" i="1"/>
  <c r="F197" i="1"/>
  <c r="E197" i="1"/>
  <c r="N196" i="1"/>
  <c r="L196" i="1"/>
  <c r="K196" i="1"/>
  <c r="J196" i="1"/>
  <c r="I196" i="1"/>
  <c r="H196" i="1"/>
  <c r="G196" i="1"/>
  <c r="F196" i="1"/>
  <c r="E196" i="1"/>
  <c r="N195" i="1"/>
  <c r="L195" i="1"/>
  <c r="K195" i="1"/>
  <c r="J195" i="1"/>
  <c r="I195" i="1"/>
  <c r="H195" i="1"/>
  <c r="G195" i="1"/>
  <c r="F195" i="1"/>
  <c r="E195" i="1"/>
  <c r="N194" i="1"/>
  <c r="L194" i="1"/>
  <c r="K194" i="1"/>
  <c r="J194" i="1"/>
  <c r="I194" i="1"/>
  <c r="H194" i="1"/>
  <c r="G194" i="1"/>
  <c r="F194" i="1"/>
  <c r="E194" i="1"/>
  <c r="N193" i="1"/>
  <c r="L193" i="1"/>
  <c r="K193" i="1"/>
  <c r="J193" i="1"/>
  <c r="I193" i="1"/>
  <c r="H193" i="1"/>
  <c r="G193" i="1"/>
  <c r="F193" i="1"/>
  <c r="E193" i="1"/>
  <c r="N192" i="1"/>
  <c r="L192" i="1"/>
  <c r="K192" i="1"/>
  <c r="J192" i="1"/>
  <c r="I192" i="1"/>
  <c r="H192" i="1"/>
  <c r="G192" i="1"/>
  <c r="F192" i="1"/>
  <c r="E192" i="1"/>
  <c r="N191" i="1"/>
  <c r="L191" i="1"/>
  <c r="K191" i="1"/>
  <c r="J191" i="1"/>
  <c r="I191" i="1"/>
  <c r="H191" i="1"/>
  <c r="G191" i="1"/>
  <c r="F191" i="1"/>
  <c r="E191" i="1"/>
  <c r="N190" i="1"/>
  <c r="L190" i="1"/>
  <c r="K190" i="1"/>
  <c r="J190" i="1"/>
  <c r="I190" i="1"/>
  <c r="H190" i="1"/>
  <c r="G190" i="1"/>
  <c r="F190" i="1"/>
  <c r="E190" i="1"/>
  <c r="N189" i="1"/>
  <c r="L189" i="1"/>
  <c r="K189" i="1"/>
  <c r="J189" i="1"/>
  <c r="I189" i="1"/>
  <c r="H189" i="1"/>
  <c r="G189" i="1"/>
  <c r="F189" i="1"/>
  <c r="E189" i="1"/>
  <c r="N188" i="1"/>
  <c r="L188" i="1"/>
  <c r="K188" i="1"/>
  <c r="J188" i="1"/>
  <c r="I188" i="1"/>
  <c r="H188" i="1"/>
  <c r="G188" i="1"/>
  <c r="F188" i="1"/>
  <c r="E188" i="1"/>
  <c r="N187" i="1"/>
  <c r="L187" i="1"/>
  <c r="K187" i="1"/>
  <c r="J187" i="1"/>
  <c r="I187" i="1"/>
  <c r="H187" i="1"/>
  <c r="G187" i="1"/>
  <c r="F187" i="1"/>
  <c r="E187" i="1"/>
  <c r="N186" i="1"/>
  <c r="L186" i="1"/>
  <c r="K186" i="1"/>
  <c r="J186" i="1"/>
  <c r="I186" i="1"/>
  <c r="H186" i="1"/>
  <c r="G186" i="1"/>
  <c r="F186" i="1"/>
  <c r="E186" i="1"/>
  <c r="N185" i="1"/>
  <c r="L185" i="1"/>
  <c r="K185" i="1"/>
  <c r="J185" i="1"/>
  <c r="I185" i="1"/>
  <c r="H185" i="1"/>
  <c r="G185" i="1"/>
  <c r="F185" i="1"/>
  <c r="E185" i="1"/>
  <c r="N184" i="1"/>
  <c r="L184" i="1"/>
  <c r="K184" i="1"/>
  <c r="J184" i="1"/>
  <c r="I184" i="1"/>
  <c r="H184" i="1"/>
  <c r="G184" i="1"/>
  <c r="F184" i="1"/>
  <c r="E184" i="1"/>
  <c r="N183" i="1"/>
  <c r="L183" i="1"/>
  <c r="K183" i="1"/>
  <c r="J183" i="1"/>
  <c r="I183" i="1"/>
  <c r="H183" i="1"/>
  <c r="G183" i="1"/>
  <c r="F183" i="1"/>
  <c r="E183" i="1"/>
  <c r="N182" i="1"/>
  <c r="L182" i="1"/>
  <c r="K182" i="1"/>
  <c r="J182" i="1"/>
  <c r="I182" i="1"/>
  <c r="H182" i="1"/>
  <c r="G182" i="1"/>
  <c r="F182" i="1"/>
  <c r="E182" i="1"/>
  <c r="N181" i="1"/>
  <c r="L181" i="1"/>
  <c r="K181" i="1"/>
  <c r="J181" i="1"/>
  <c r="I181" i="1"/>
  <c r="H181" i="1"/>
  <c r="G181" i="1"/>
  <c r="F181" i="1"/>
  <c r="E181" i="1"/>
  <c r="N180" i="1"/>
  <c r="L180" i="1"/>
  <c r="K180" i="1"/>
  <c r="J180" i="1"/>
  <c r="I180" i="1"/>
  <c r="H180" i="1"/>
  <c r="G180" i="1"/>
  <c r="F180" i="1"/>
  <c r="E180" i="1"/>
  <c r="N179" i="1"/>
  <c r="L179" i="1"/>
  <c r="K179" i="1"/>
  <c r="J179" i="1"/>
  <c r="I179" i="1"/>
  <c r="H179" i="1"/>
  <c r="G179" i="1"/>
  <c r="F179" i="1"/>
  <c r="E179" i="1"/>
  <c r="N178" i="1"/>
  <c r="L178" i="1"/>
  <c r="K178" i="1"/>
  <c r="J178" i="1"/>
  <c r="I178" i="1"/>
  <c r="H178" i="1"/>
  <c r="G178" i="1"/>
  <c r="F178" i="1"/>
  <c r="E178" i="1"/>
  <c r="N177" i="1"/>
  <c r="L177" i="1"/>
  <c r="K177" i="1"/>
  <c r="J177" i="1"/>
  <c r="I177" i="1"/>
  <c r="H177" i="1"/>
  <c r="G177" i="1"/>
  <c r="F177" i="1"/>
  <c r="E177" i="1"/>
  <c r="N176" i="1"/>
  <c r="L176" i="1"/>
  <c r="K176" i="1"/>
  <c r="J176" i="1"/>
  <c r="I176" i="1"/>
  <c r="H176" i="1"/>
  <c r="G176" i="1"/>
  <c r="F176" i="1"/>
  <c r="E176" i="1"/>
  <c r="N175" i="1"/>
  <c r="L175" i="1"/>
  <c r="K175" i="1"/>
  <c r="J175" i="1"/>
  <c r="I175" i="1"/>
  <c r="H175" i="1"/>
  <c r="G175" i="1"/>
  <c r="F175" i="1"/>
  <c r="E175" i="1"/>
  <c r="N174" i="1"/>
  <c r="L174" i="1"/>
  <c r="K174" i="1"/>
  <c r="J174" i="1"/>
  <c r="I174" i="1"/>
  <c r="H174" i="1"/>
  <c r="G174" i="1"/>
  <c r="F174" i="1"/>
  <c r="E174" i="1"/>
  <c r="N173" i="1"/>
  <c r="L173" i="1"/>
  <c r="K173" i="1"/>
  <c r="J173" i="1"/>
  <c r="I173" i="1"/>
  <c r="H173" i="1"/>
  <c r="G173" i="1"/>
  <c r="F173" i="1"/>
  <c r="E173" i="1"/>
  <c r="N172" i="1"/>
  <c r="L172" i="1"/>
  <c r="K172" i="1"/>
  <c r="J172" i="1"/>
  <c r="I172" i="1"/>
  <c r="H172" i="1"/>
  <c r="G172" i="1"/>
  <c r="F172" i="1"/>
  <c r="E172" i="1"/>
  <c r="N171" i="1"/>
  <c r="L171" i="1"/>
  <c r="K171" i="1"/>
  <c r="J171" i="1"/>
  <c r="I171" i="1"/>
  <c r="H171" i="1"/>
  <c r="G171" i="1"/>
  <c r="F171" i="1"/>
  <c r="E171" i="1"/>
  <c r="N170" i="1"/>
  <c r="L170" i="1"/>
  <c r="K170" i="1"/>
  <c r="J170" i="1"/>
  <c r="I170" i="1"/>
  <c r="H170" i="1"/>
  <c r="G170" i="1"/>
  <c r="F170" i="1"/>
  <c r="E170" i="1"/>
  <c r="N169" i="1"/>
  <c r="L169" i="1"/>
  <c r="K169" i="1"/>
  <c r="J169" i="1"/>
  <c r="I169" i="1"/>
  <c r="H169" i="1"/>
  <c r="G169" i="1"/>
  <c r="F169" i="1"/>
  <c r="E169" i="1"/>
  <c r="N168" i="1"/>
  <c r="L168" i="1"/>
  <c r="K168" i="1"/>
  <c r="J168" i="1"/>
  <c r="I168" i="1"/>
  <c r="H168" i="1"/>
  <c r="G168" i="1"/>
  <c r="F168" i="1"/>
  <c r="E168" i="1"/>
  <c r="N167" i="1"/>
  <c r="L167" i="1"/>
  <c r="K167" i="1"/>
  <c r="J167" i="1"/>
  <c r="I167" i="1"/>
  <c r="H167" i="1"/>
  <c r="G167" i="1"/>
  <c r="F167" i="1"/>
  <c r="E167" i="1"/>
  <c r="N166" i="1"/>
  <c r="L166" i="1"/>
  <c r="K166" i="1"/>
  <c r="J166" i="1"/>
  <c r="I166" i="1"/>
  <c r="H166" i="1"/>
  <c r="G166" i="1"/>
  <c r="F166" i="1"/>
  <c r="E166" i="1"/>
  <c r="N165" i="1"/>
  <c r="L165" i="1"/>
  <c r="K165" i="1"/>
  <c r="J165" i="1"/>
  <c r="I165" i="1"/>
  <c r="H165" i="1"/>
  <c r="G165" i="1"/>
  <c r="F165" i="1"/>
  <c r="E165" i="1"/>
  <c r="N164" i="1"/>
  <c r="L164" i="1"/>
  <c r="K164" i="1"/>
  <c r="J164" i="1"/>
  <c r="I164" i="1"/>
  <c r="H164" i="1"/>
  <c r="G164" i="1"/>
  <c r="F164" i="1"/>
  <c r="E164" i="1"/>
  <c r="N163" i="1"/>
  <c r="L163" i="1"/>
  <c r="K163" i="1"/>
  <c r="J163" i="1"/>
  <c r="I163" i="1"/>
  <c r="H163" i="1"/>
  <c r="G163" i="1"/>
  <c r="F163" i="1"/>
  <c r="E163" i="1"/>
  <c r="N162" i="1"/>
  <c r="L162" i="1"/>
  <c r="K162" i="1"/>
  <c r="J162" i="1"/>
  <c r="I162" i="1"/>
  <c r="H162" i="1"/>
  <c r="G162" i="1"/>
  <c r="F162" i="1"/>
  <c r="E162" i="1"/>
  <c r="N161" i="1"/>
  <c r="L161" i="1"/>
  <c r="K161" i="1"/>
  <c r="J161" i="1"/>
  <c r="I161" i="1"/>
  <c r="H161" i="1"/>
  <c r="G161" i="1"/>
  <c r="F161" i="1"/>
  <c r="E161" i="1"/>
  <c r="N160" i="1"/>
  <c r="L160" i="1"/>
  <c r="K160" i="1"/>
  <c r="J160" i="1"/>
  <c r="I160" i="1"/>
  <c r="H160" i="1"/>
  <c r="G160" i="1"/>
  <c r="F160" i="1"/>
  <c r="E160" i="1"/>
  <c r="N159" i="1"/>
  <c r="L159" i="1"/>
  <c r="K159" i="1"/>
  <c r="J159" i="1"/>
  <c r="I159" i="1"/>
  <c r="H159" i="1"/>
  <c r="G159" i="1"/>
  <c r="F159" i="1"/>
  <c r="E159" i="1"/>
  <c r="N158" i="1"/>
  <c r="L158" i="1"/>
  <c r="K158" i="1"/>
  <c r="J158" i="1"/>
  <c r="I158" i="1"/>
  <c r="H158" i="1"/>
  <c r="G158" i="1"/>
  <c r="F158" i="1"/>
  <c r="E158" i="1"/>
  <c r="N157" i="1"/>
  <c r="L157" i="1"/>
  <c r="K157" i="1"/>
  <c r="J157" i="1"/>
  <c r="I157" i="1"/>
  <c r="H157" i="1"/>
  <c r="G157" i="1"/>
  <c r="F157" i="1"/>
  <c r="E157" i="1"/>
  <c r="N156" i="1"/>
  <c r="L156" i="1"/>
  <c r="K156" i="1"/>
  <c r="J156" i="1"/>
  <c r="I156" i="1"/>
  <c r="H156" i="1"/>
  <c r="G156" i="1"/>
  <c r="F156" i="1"/>
  <c r="E156" i="1"/>
  <c r="N155" i="1"/>
  <c r="L155" i="1"/>
  <c r="K155" i="1"/>
  <c r="J155" i="1"/>
  <c r="I155" i="1"/>
  <c r="H155" i="1"/>
  <c r="G155" i="1"/>
  <c r="F155" i="1"/>
  <c r="E155" i="1"/>
  <c r="N154" i="1"/>
  <c r="L154" i="1"/>
  <c r="K154" i="1"/>
  <c r="J154" i="1"/>
  <c r="I154" i="1"/>
  <c r="H154" i="1"/>
  <c r="G154" i="1"/>
  <c r="F154" i="1"/>
  <c r="E154" i="1"/>
  <c r="N153" i="1"/>
  <c r="L153" i="1"/>
  <c r="K153" i="1"/>
  <c r="J153" i="1"/>
  <c r="I153" i="1"/>
  <c r="H153" i="1"/>
  <c r="G153" i="1"/>
  <c r="F153" i="1"/>
  <c r="E153" i="1"/>
  <c r="N152" i="1"/>
  <c r="L152" i="1"/>
  <c r="K152" i="1"/>
  <c r="J152" i="1"/>
  <c r="I152" i="1"/>
  <c r="H152" i="1"/>
  <c r="G152" i="1"/>
  <c r="F152" i="1"/>
  <c r="E152" i="1"/>
  <c r="N151" i="1"/>
  <c r="L151" i="1"/>
  <c r="K151" i="1"/>
  <c r="J151" i="1"/>
  <c r="I151" i="1"/>
  <c r="H151" i="1"/>
  <c r="G151" i="1"/>
  <c r="F151" i="1"/>
  <c r="E151" i="1"/>
  <c r="N150" i="1"/>
  <c r="L150" i="1"/>
  <c r="K150" i="1"/>
  <c r="J150" i="1"/>
  <c r="I150" i="1"/>
  <c r="H150" i="1"/>
  <c r="G150" i="1"/>
  <c r="F150" i="1"/>
  <c r="E150" i="1"/>
  <c r="N149" i="1"/>
  <c r="L149" i="1"/>
  <c r="K149" i="1"/>
  <c r="J149" i="1"/>
  <c r="I149" i="1"/>
  <c r="H149" i="1"/>
  <c r="G149" i="1"/>
  <c r="F149" i="1"/>
  <c r="E149" i="1"/>
  <c r="N148" i="1"/>
  <c r="L148" i="1"/>
  <c r="K148" i="1"/>
  <c r="J148" i="1"/>
  <c r="I148" i="1"/>
  <c r="H148" i="1"/>
  <c r="G148" i="1"/>
  <c r="F148" i="1"/>
  <c r="E148" i="1"/>
  <c r="N147" i="1"/>
  <c r="L147" i="1"/>
  <c r="K147" i="1"/>
  <c r="J147" i="1"/>
  <c r="I147" i="1"/>
  <c r="H147" i="1"/>
  <c r="G147" i="1"/>
  <c r="F147" i="1"/>
  <c r="E147" i="1"/>
  <c r="N146" i="1"/>
  <c r="L146" i="1"/>
  <c r="K146" i="1"/>
  <c r="J146" i="1"/>
  <c r="I146" i="1"/>
  <c r="H146" i="1"/>
  <c r="G146" i="1"/>
  <c r="F146" i="1"/>
  <c r="E146" i="1"/>
  <c r="N145" i="1"/>
  <c r="L145" i="1"/>
  <c r="K145" i="1"/>
  <c r="J145" i="1"/>
  <c r="I145" i="1"/>
  <c r="H145" i="1"/>
  <c r="G145" i="1"/>
  <c r="F145" i="1"/>
  <c r="E145" i="1"/>
  <c r="N144" i="1"/>
  <c r="L144" i="1"/>
  <c r="K144" i="1"/>
  <c r="J144" i="1"/>
  <c r="I144" i="1"/>
  <c r="H144" i="1"/>
  <c r="G144" i="1"/>
  <c r="F144" i="1"/>
  <c r="E144" i="1"/>
  <c r="N143" i="1"/>
  <c r="L143" i="1"/>
  <c r="K143" i="1"/>
  <c r="J143" i="1"/>
  <c r="I143" i="1"/>
  <c r="H143" i="1"/>
  <c r="G143" i="1"/>
  <c r="F143" i="1"/>
  <c r="E143" i="1"/>
  <c r="N142" i="1"/>
  <c r="L142" i="1"/>
  <c r="K142" i="1"/>
  <c r="J142" i="1"/>
  <c r="I142" i="1"/>
  <c r="H142" i="1"/>
  <c r="G142" i="1"/>
  <c r="F142" i="1"/>
  <c r="E142" i="1"/>
  <c r="N141" i="1"/>
  <c r="L141" i="1"/>
  <c r="K141" i="1"/>
  <c r="J141" i="1"/>
  <c r="I141" i="1"/>
  <c r="H141" i="1"/>
  <c r="G141" i="1"/>
  <c r="F141" i="1"/>
  <c r="E141" i="1"/>
  <c r="N140" i="1"/>
  <c r="L140" i="1"/>
  <c r="K140" i="1"/>
  <c r="J140" i="1"/>
  <c r="I140" i="1"/>
  <c r="H140" i="1"/>
  <c r="G140" i="1"/>
  <c r="F140" i="1"/>
  <c r="E140" i="1"/>
  <c r="N139" i="1"/>
  <c r="L139" i="1"/>
  <c r="K139" i="1"/>
  <c r="J139" i="1"/>
  <c r="I139" i="1"/>
  <c r="H139" i="1"/>
  <c r="G139" i="1"/>
  <c r="F139" i="1"/>
  <c r="E139" i="1"/>
  <c r="N138" i="1"/>
  <c r="L138" i="1"/>
  <c r="K138" i="1"/>
  <c r="J138" i="1"/>
  <c r="I138" i="1"/>
  <c r="H138" i="1"/>
  <c r="G138" i="1"/>
  <c r="F138" i="1"/>
  <c r="E138" i="1"/>
  <c r="N137" i="1"/>
  <c r="L137" i="1"/>
  <c r="K137" i="1"/>
  <c r="J137" i="1"/>
  <c r="I137" i="1"/>
  <c r="H137" i="1"/>
  <c r="G137" i="1"/>
  <c r="F137" i="1"/>
  <c r="E137" i="1"/>
  <c r="N136" i="1"/>
  <c r="L136" i="1"/>
  <c r="K136" i="1"/>
  <c r="J136" i="1"/>
  <c r="I136" i="1"/>
  <c r="H136" i="1"/>
  <c r="G136" i="1"/>
  <c r="F136" i="1"/>
  <c r="E136" i="1"/>
  <c r="N135" i="1"/>
  <c r="L135" i="1"/>
  <c r="K135" i="1"/>
  <c r="J135" i="1"/>
  <c r="I135" i="1"/>
  <c r="H135" i="1"/>
  <c r="G135" i="1"/>
  <c r="F135" i="1"/>
  <c r="E135" i="1"/>
  <c r="N134" i="1"/>
  <c r="L134" i="1"/>
  <c r="K134" i="1"/>
  <c r="J134" i="1"/>
  <c r="I134" i="1"/>
  <c r="H134" i="1"/>
  <c r="G134" i="1"/>
  <c r="F134" i="1"/>
  <c r="E134" i="1"/>
  <c r="N133" i="1"/>
  <c r="L133" i="1"/>
  <c r="K133" i="1"/>
  <c r="J133" i="1"/>
  <c r="I133" i="1"/>
  <c r="H133" i="1"/>
  <c r="G133" i="1"/>
  <c r="F133" i="1"/>
  <c r="E133" i="1"/>
  <c r="N132" i="1"/>
  <c r="L132" i="1"/>
  <c r="K132" i="1"/>
  <c r="J132" i="1"/>
  <c r="I132" i="1"/>
  <c r="H132" i="1"/>
  <c r="G132" i="1"/>
  <c r="F132" i="1"/>
  <c r="E132" i="1"/>
  <c r="N131" i="1"/>
  <c r="L131" i="1"/>
  <c r="K131" i="1"/>
  <c r="J131" i="1"/>
  <c r="I131" i="1"/>
  <c r="H131" i="1"/>
  <c r="G131" i="1"/>
  <c r="F131" i="1"/>
  <c r="E131" i="1"/>
  <c r="N130" i="1"/>
  <c r="L130" i="1"/>
  <c r="K130" i="1"/>
  <c r="J130" i="1"/>
  <c r="I130" i="1"/>
  <c r="H130" i="1"/>
  <c r="G130" i="1"/>
  <c r="F130" i="1"/>
  <c r="E130" i="1"/>
  <c r="N129" i="1"/>
  <c r="L129" i="1"/>
  <c r="K129" i="1"/>
  <c r="J129" i="1"/>
  <c r="I129" i="1"/>
  <c r="H129" i="1"/>
  <c r="G129" i="1"/>
  <c r="F129" i="1"/>
  <c r="E129" i="1"/>
  <c r="N128" i="1"/>
  <c r="L128" i="1"/>
  <c r="K128" i="1"/>
  <c r="J128" i="1"/>
  <c r="I128" i="1"/>
  <c r="H128" i="1"/>
  <c r="G128" i="1"/>
  <c r="F128" i="1"/>
  <c r="E128" i="1"/>
  <c r="N127" i="1"/>
  <c r="L127" i="1"/>
  <c r="K127" i="1"/>
  <c r="J127" i="1"/>
  <c r="I127" i="1"/>
  <c r="H127" i="1"/>
  <c r="G127" i="1"/>
  <c r="F127" i="1"/>
  <c r="E127" i="1"/>
  <c r="N126" i="1"/>
  <c r="L126" i="1"/>
  <c r="K126" i="1"/>
  <c r="J126" i="1"/>
  <c r="I126" i="1"/>
  <c r="H126" i="1"/>
  <c r="G126" i="1"/>
  <c r="F126" i="1"/>
  <c r="E126" i="1"/>
  <c r="N125" i="1"/>
  <c r="L125" i="1"/>
  <c r="K125" i="1"/>
  <c r="J125" i="1"/>
  <c r="I125" i="1"/>
  <c r="H125" i="1"/>
  <c r="G125" i="1"/>
  <c r="F125" i="1"/>
  <c r="E125" i="1"/>
  <c r="N124" i="1"/>
  <c r="L124" i="1"/>
  <c r="K124" i="1"/>
  <c r="J124" i="1"/>
  <c r="I124" i="1"/>
  <c r="H124" i="1"/>
  <c r="G124" i="1"/>
  <c r="F124" i="1"/>
  <c r="E124" i="1"/>
  <c r="N123" i="1"/>
  <c r="L123" i="1"/>
  <c r="K123" i="1"/>
  <c r="J123" i="1"/>
  <c r="I123" i="1"/>
  <c r="H123" i="1"/>
  <c r="G123" i="1"/>
  <c r="F123" i="1"/>
  <c r="E123" i="1"/>
  <c r="N122" i="1"/>
  <c r="L122" i="1"/>
  <c r="K122" i="1"/>
  <c r="J122" i="1"/>
  <c r="I122" i="1"/>
  <c r="H122" i="1"/>
  <c r="G122" i="1"/>
  <c r="F122" i="1"/>
  <c r="E122" i="1"/>
  <c r="N121" i="1"/>
  <c r="L121" i="1"/>
  <c r="K121" i="1"/>
  <c r="J121" i="1"/>
  <c r="I121" i="1"/>
  <c r="H121" i="1"/>
  <c r="G121" i="1"/>
  <c r="F121" i="1"/>
  <c r="E121" i="1"/>
  <c r="N120" i="1"/>
  <c r="L120" i="1"/>
  <c r="K120" i="1"/>
  <c r="J120" i="1"/>
  <c r="I120" i="1"/>
  <c r="H120" i="1"/>
  <c r="G120" i="1"/>
  <c r="F120" i="1"/>
  <c r="E120" i="1"/>
  <c r="N119" i="1"/>
  <c r="L119" i="1"/>
  <c r="K119" i="1"/>
  <c r="J119" i="1"/>
  <c r="I119" i="1"/>
  <c r="H119" i="1"/>
  <c r="G119" i="1"/>
  <c r="F119" i="1"/>
  <c r="E119" i="1"/>
  <c r="N118" i="1"/>
  <c r="L118" i="1"/>
  <c r="K118" i="1"/>
  <c r="J118" i="1"/>
  <c r="I118" i="1"/>
  <c r="H118" i="1"/>
  <c r="G118" i="1"/>
  <c r="F118" i="1"/>
  <c r="E118" i="1"/>
  <c r="N117" i="1"/>
  <c r="L117" i="1"/>
  <c r="K117" i="1"/>
  <c r="J117" i="1"/>
  <c r="I117" i="1"/>
  <c r="H117" i="1"/>
  <c r="G117" i="1"/>
  <c r="F117" i="1"/>
  <c r="E117" i="1"/>
  <c r="N116" i="1"/>
  <c r="L116" i="1"/>
  <c r="K116" i="1"/>
  <c r="J116" i="1"/>
  <c r="I116" i="1"/>
  <c r="H116" i="1"/>
  <c r="G116" i="1"/>
  <c r="F116" i="1"/>
  <c r="E116" i="1"/>
  <c r="N115" i="1"/>
  <c r="L115" i="1"/>
  <c r="K115" i="1"/>
  <c r="J115" i="1"/>
  <c r="I115" i="1"/>
  <c r="H115" i="1"/>
  <c r="G115" i="1"/>
  <c r="F115" i="1"/>
  <c r="E115" i="1"/>
  <c r="N114" i="1"/>
  <c r="L114" i="1"/>
  <c r="K114" i="1"/>
  <c r="J114" i="1"/>
  <c r="I114" i="1"/>
  <c r="H114" i="1"/>
  <c r="G114" i="1"/>
  <c r="F114" i="1"/>
  <c r="E114" i="1"/>
  <c r="N113" i="1"/>
  <c r="L113" i="1"/>
  <c r="K113" i="1"/>
  <c r="J113" i="1"/>
  <c r="I113" i="1"/>
  <c r="H113" i="1"/>
  <c r="G113" i="1"/>
  <c r="F113" i="1"/>
  <c r="E113" i="1"/>
  <c r="N112" i="1"/>
  <c r="L112" i="1"/>
  <c r="K112" i="1"/>
  <c r="J112" i="1"/>
  <c r="I112" i="1"/>
  <c r="H112" i="1"/>
  <c r="G112" i="1"/>
  <c r="F112" i="1"/>
  <c r="E112" i="1"/>
  <c r="N111" i="1"/>
  <c r="L111" i="1"/>
  <c r="K111" i="1"/>
  <c r="J111" i="1"/>
  <c r="I111" i="1"/>
  <c r="H111" i="1"/>
  <c r="G111" i="1"/>
  <c r="F111" i="1"/>
  <c r="E111" i="1"/>
  <c r="N110" i="1"/>
  <c r="L110" i="1"/>
  <c r="K110" i="1"/>
  <c r="J110" i="1"/>
  <c r="I110" i="1"/>
  <c r="H110" i="1"/>
  <c r="G110" i="1"/>
  <c r="F110" i="1"/>
  <c r="E110" i="1"/>
  <c r="N109" i="1"/>
  <c r="L109" i="1"/>
  <c r="K109" i="1"/>
  <c r="J109" i="1"/>
  <c r="I109" i="1"/>
  <c r="H109" i="1"/>
  <c r="G109" i="1"/>
  <c r="F109" i="1"/>
  <c r="E109" i="1"/>
  <c r="N108" i="1"/>
  <c r="L108" i="1"/>
  <c r="K108" i="1"/>
  <c r="J108" i="1"/>
  <c r="I108" i="1"/>
  <c r="H108" i="1"/>
  <c r="G108" i="1"/>
  <c r="F108" i="1"/>
  <c r="E108" i="1"/>
  <c r="N107" i="1"/>
  <c r="L107" i="1"/>
  <c r="K107" i="1"/>
  <c r="J107" i="1"/>
  <c r="I107" i="1"/>
  <c r="H107" i="1"/>
  <c r="G107" i="1"/>
  <c r="F107" i="1"/>
  <c r="E107" i="1"/>
  <c r="N106" i="1"/>
  <c r="L106" i="1"/>
  <c r="K106" i="1"/>
  <c r="J106" i="1"/>
  <c r="I106" i="1"/>
  <c r="H106" i="1"/>
  <c r="G106" i="1"/>
  <c r="F106" i="1"/>
  <c r="E106" i="1"/>
  <c r="N105" i="1"/>
  <c r="L105" i="1"/>
  <c r="K105" i="1"/>
  <c r="J105" i="1"/>
  <c r="I105" i="1"/>
  <c r="H105" i="1"/>
  <c r="G105" i="1"/>
  <c r="F105" i="1"/>
  <c r="E105" i="1"/>
  <c r="N104" i="1"/>
  <c r="L104" i="1"/>
  <c r="K104" i="1"/>
  <c r="J104" i="1"/>
  <c r="I104" i="1"/>
  <c r="H104" i="1"/>
  <c r="G104" i="1"/>
  <c r="F104" i="1"/>
  <c r="E104" i="1"/>
  <c r="N103" i="1"/>
  <c r="L103" i="1"/>
  <c r="K103" i="1"/>
  <c r="J103" i="1"/>
  <c r="I103" i="1"/>
  <c r="H103" i="1"/>
  <c r="G103" i="1"/>
  <c r="F103" i="1"/>
  <c r="E103" i="1"/>
  <c r="N102" i="1"/>
  <c r="L102" i="1"/>
  <c r="K102" i="1"/>
  <c r="J102" i="1"/>
  <c r="I102" i="1"/>
  <c r="H102" i="1"/>
  <c r="G102" i="1"/>
  <c r="F102" i="1"/>
  <c r="E102" i="1"/>
  <c r="N101" i="1"/>
  <c r="L101" i="1"/>
  <c r="K101" i="1"/>
  <c r="J101" i="1"/>
  <c r="I101" i="1"/>
  <c r="H101" i="1"/>
  <c r="G101" i="1"/>
  <c r="F101" i="1"/>
  <c r="E101" i="1"/>
  <c r="N100" i="1"/>
  <c r="L100" i="1"/>
  <c r="K100" i="1"/>
  <c r="J100" i="1"/>
  <c r="I100" i="1"/>
  <c r="H100" i="1"/>
  <c r="G100" i="1"/>
  <c r="F100" i="1"/>
  <c r="E100" i="1"/>
  <c r="N99" i="1"/>
  <c r="L99" i="1"/>
  <c r="K99" i="1"/>
  <c r="J99" i="1"/>
  <c r="I99" i="1"/>
  <c r="H99" i="1"/>
  <c r="G99" i="1"/>
  <c r="F99" i="1"/>
  <c r="E99" i="1"/>
  <c r="N98" i="1"/>
  <c r="L98" i="1"/>
  <c r="K98" i="1"/>
  <c r="J98" i="1"/>
  <c r="I98" i="1"/>
  <c r="H98" i="1"/>
  <c r="G98" i="1"/>
  <c r="F98" i="1"/>
  <c r="E98" i="1"/>
  <c r="N97" i="1"/>
  <c r="L97" i="1"/>
  <c r="K97" i="1"/>
  <c r="J97" i="1"/>
  <c r="I97" i="1"/>
  <c r="H97" i="1"/>
  <c r="G97" i="1"/>
  <c r="F97" i="1"/>
  <c r="E97" i="1"/>
  <c r="N96" i="1"/>
  <c r="L96" i="1"/>
  <c r="K96" i="1"/>
  <c r="J96" i="1"/>
  <c r="I96" i="1"/>
  <c r="H96" i="1"/>
  <c r="G96" i="1"/>
  <c r="F96" i="1"/>
  <c r="E96" i="1"/>
  <c r="N95" i="1"/>
  <c r="L95" i="1"/>
  <c r="K95" i="1"/>
  <c r="J95" i="1"/>
  <c r="I95" i="1"/>
  <c r="H95" i="1"/>
  <c r="G95" i="1"/>
  <c r="F95" i="1"/>
  <c r="E95" i="1"/>
  <c r="N94" i="1"/>
  <c r="L94" i="1"/>
  <c r="K94" i="1"/>
  <c r="J94" i="1"/>
  <c r="I94" i="1"/>
  <c r="H94" i="1"/>
  <c r="G94" i="1"/>
  <c r="F94" i="1"/>
  <c r="E94" i="1"/>
  <c r="N93" i="1"/>
  <c r="L93" i="1"/>
  <c r="K93" i="1"/>
  <c r="J93" i="1"/>
  <c r="I93" i="1"/>
  <c r="H93" i="1"/>
  <c r="G93" i="1"/>
  <c r="F93" i="1"/>
  <c r="E93" i="1"/>
  <c r="N92" i="1"/>
  <c r="L92" i="1"/>
  <c r="K92" i="1"/>
  <c r="J92" i="1"/>
  <c r="I92" i="1"/>
  <c r="H92" i="1"/>
  <c r="G92" i="1"/>
  <c r="F92" i="1"/>
  <c r="E92" i="1"/>
  <c r="N91" i="1"/>
  <c r="L91" i="1"/>
  <c r="K91" i="1"/>
  <c r="J91" i="1"/>
  <c r="I91" i="1"/>
  <c r="H91" i="1"/>
  <c r="G91" i="1"/>
  <c r="F91" i="1"/>
  <c r="E91" i="1"/>
  <c r="N90" i="1"/>
  <c r="L90" i="1"/>
  <c r="K90" i="1"/>
  <c r="J90" i="1"/>
  <c r="I90" i="1"/>
  <c r="H90" i="1"/>
  <c r="G90" i="1"/>
  <c r="F90" i="1"/>
  <c r="E90" i="1"/>
  <c r="N89" i="1"/>
  <c r="L89" i="1"/>
  <c r="K89" i="1"/>
  <c r="J89" i="1"/>
  <c r="I89" i="1"/>
  <c r="H89" i="1"/>
  <c r="G89" i="1"/>
  <c r="F89" i="1"/>
  <c r="E89" i="1"/>
  <c r="N88" i="1"/>
  <c r="L88" i="1"/>
  <c r="K88" i="1"/>
  <c r="J88" i="1"/>
  <c r="I88" i="1"/>
  <c r="H88" i="1"/>
  <c r="G88" i="1"/>
  <c r="F88" i="1"/>
  <c r="E88" i="1"/>
  <c r="N87" i="1"/>
  <c r="L87" i="1"/>
  <c r="K87" i="1"/>
  <c r="J87" i="1"/>
  <c r="I87" i="1"/>
  <c r="H87" i="1"/>
  <c r="G87" i="1"/>
  <c r="F87" i="1"/>
  <c r="E87" i="1"/>
  <c r="N86" i="1"/>
  <c r="L86" i="1"/>
  <c r="K86" i="1"/>
  <c r="J86" i="1"/>
  <c r="I86" i="1"/>
  <c r="H86" i="1"/>
  <c r="G86" i="1"/>
  <c r="F86" i="1"/>
  <c r="E86" i="1"/>
  <c r="N85" i="1"/>
  <c r="L85" i="1"/>
  <c r="K85" i="1"/>
  <c r="J85" i="1"/>
  <c r="I85" i="1"/>
  <c r="H85" i="1"/>
  <c r="G85" i="1"/>
  <c r="F85" i="1"/>
  <c r="E85" i="1"/>
  <c r="N84" i="1"/>
  <c r="L84" i="1"/>
  <c r="K84" i="1"/>
  <c r="J84" i="1"/>
  <c r="I84" i="1"/>
  <c r="H84" i="1"/>
  <c r="G84" i="1"/>
  <c r="F84" i="1"/>
  <c r="E84" i="1"/>
  <c r="N83" i="1"/>
  <c r="L83" i="1"/>
  <c r="K83" i="1"/>
  <c r="J83" i="1"/>
  <c r="I83" i="1"/>
  <c r="H83" i="1"/>
  <c r="G83" i="1"/>
  <c r="F83" i="1"/>
  <c r="E83" i="1"/>
  <c r="N82" i="1"/>
  <c r="L82" i="1"/>
  <c r="K82" i="1"/>
  <c r="J82" i="1"/>
  <c r="I82" i="1"/>
  <c r="H82" i="1"/>
  <c r="G82" i="1"/>
  <c r="F82" i="1"/>
  <c r="E82" i="1"/>
  <c r="N81" i="1"/>
  <c r="L81" i="1"/>
  <c r="K81" i="1"/>
  <c r="J81" i="1"/>
  <c r="I81" i="1"/>
  <c r="H81" i="1"/>
  <c r="G81" i="1"/>
  <c r="F81" i="1"/>
  <c r="E81" i="1"/>
  <c r="N80" i="1"/>
  <c r="L80" i="1"/>
  <c r="K80" i="1"/>
  <c r="J80" i="1"/>
  <c r="I80" i="1"/>
  <c r="H80" i="1"/>
  <c r="G80" i="1"/>
  <c r="F80" i="1"/>
  <c r="E80" i="1"/>
  <c r="N79" i="1"/>
  <c r="L79" i="1"/>
  <c r="K79" i="1"/>
  <c r="J79" i="1"/>
  <c r="I79" i="1"/>
  <c r="H79" i="1"/>
  <c r="G79" i="1"/>
  <c r="F79" i="1"/>
  <c r="E79" i="1"/>
  <c r="N78" i="1"/>
  <c r="L78" i="1"/>
  <c r="K78" i="1"/>
  <c r="J78" i="1"/>
  <c r="I78" i="1"/>
  <c r="H78" i="1"/>
  <c r="G78" i="1"/>
  <c r="F78" i="1"/>
  <c r="E78" i="1"/>
  <c r="N77" i="1"/>
  <c r="L77" i="1"/>
  <c r="K77" i="1"/>
  <c r="J77" i="1"/>
  <c r="I77" i="1"/>
  <c r="H77" i="1"/>
  <c r="G77" i="1"/>
  <c r="F77" i="1"/>
  <c r="E77" i="1"/>
  <c r="N76" i="1"/>
  <c r="L76" i="1"/>
  <c r="K76" i="1"/>
  <c r="J76" i="1"/>
  <c r="I76" i="1"/>
  <c r="H76" i="1"/>
  <c r="G76" i="1"/>
  <c r="F76" i="1"/>
  <c r="E76" i="1"/>
  <c r="N75" i="1"/>
  <c r="L75" i="1"/>
  <c r="K75" i="1"/>
  <c r="J75" i="1"/>
  <c r="I75" i="1"/>
  <c r="H75" i="1"/>
  <c r="G75" i="1"/>
  <c r="F75" i="1"/>
  <c r="E75" i="1"/>
  <c r="N74" i="1"/>
  <c r="L74" i="1"/>
  <c r="K74" i="1"/>
  <c r="J74" i="1"/>
  <c r="I74" i="1"/>
  <c r="H74" i="1"/>
  <c r="G74" i="1"/>
  <c r="F74" i="1"/>
  <c r="E74" i="1"/>
  <c r="N73" i="1"/>
  <c r="L73" i="1"/>
  <c r="K73" i="1"/>
  <c r="J73" i="1"/>
  <c r="I73" i="1"/>
  <c r="H73" i="1"/>
  <c r="G73" i="1"/>
  <c r="F73" i="1"/>
  <c r="E73" i="1"/>
  <c r="N72" i="1"/>
  <c r="L72" i="1"/>
  <c r="K72" i="1"/>
  <c r="J72" i="1"/>
  <c r="I72" i="1"/>
  <c r="H72" i="1"/>
  <c r="G72" i="1"/>
  <c r="F72" i="1"/>
  <c r="E72" i="1"/>
  <c r="N71" i="1"/>
  <c r="L71" i="1"/>
  <c r="K71" i="1"/>
  <c r="J71" i="1"/>
  <c r="I71" i="1"/>
  <c r="H71" i="1"/>
  <c r="G71" i="1"/>
  <c r="F71" i="1"/>
  <c r="E71" i="1"/>
  <c r="N70" i="1"/>
  <c r="L70" i="1"/>
  <c r="K70" i="1"/>
  <c r="J70" i="1"/>
  <c r="I70" i="1"/>
  <c r="H70" i="1"/>
  <c r="G70" i="1"/>
  <c r="F70" i="1"/>
  <c r="E70" i="1"/>
  <c r="N69" i="1"/>
  <c r="L69" i="1"/>
  <c r="K69" i="1"/>
  <c r="J69" i="1"/>
  <c r="I69" i="1"/>
  <c r="H69" i="1"/>
  <c r="G69" i="1"/>
  <c r="F69" i="1"/>
  <c r="E69" i="1"/>
  <c r="N68" i="1"/>
  <c r="L68" i="1"/>
  <c r="K68" i="1"/>
  <c r="J68" i="1"/>
  <c r="I68" i="1"/>
  <c r="H68" i="1"/>
  <c r="G68" i="1"/>
  <c r="F68" i="1"/>
  <c r="E68" i="1"/>
  <c r="N67" i="1"/>
  <c r="L67" i="1"/>
  <c r="K67" i="1"/>
  <c r="J67" i="1"/>
  <c r="I67" i="1"/>
  <c r="H67" i="1"/>
  <c r="G67" i="1"/>
  <c r="F67" i="1"/>
  <c r="E67" i="1"/>
  <c r="N66" i="1"/>
  <c r="L66" i="1"/>
  <c r="K66" i="1"/>
  <c r="J66" i="1"/>
  <c r="I66" i="1"/>
  <c r="H66" i="1"/>
  <c r="G66" i="1"/>
  <c r="F66" i="1"/>
  <c r="E66" i="1"/>
  <c r="N65" i="1"/>
  <c r="L65" i="1"/>
  <c r="K65" i="1"/>
  <c r="J65" i="1"/>
  <c r="I65" i="1"/>
  <c r="H65" i="1"/>
  <c r="G65" i="1"/>
  <c r="F65" i="1"/>
  <c r="E65" i="1"/>
  <c r="N64" i="1"/>
  <c r="L64" i="1"/>
  <c r="K64" i="1"/>
  <c r="J64" i="1"/>
  <c r="I64" i="1"/>
  <c r="H64" i="1"/>
  <c r="G64" i="1"/>
  <c r="F64" i="1"/>
  <c r="E64" i="1"/>
  <c r="N63" i="1"/>
  <c r="L63" i="1"/>
  <c r="K63" i="1"/>
  <c r="J63" i="1"/>
  <c r="I63" i="1"/>
  <c r="H63" i="1"/>
  <c r="G63" i="1"/>
  <c r="F63" i="1"/>
  <c r="E63" i="1"/>
  <c r="N62" i="1"/>
  <c r="L62" i="1"/>
  <c r="K62" i="1"/>
  <c r="J62" i="1"/>
  <c r="I62" i="1"/>
  <c r="H62" i="1"/>
  <c r="G62" i="1"/>
  <c r="F62" i="1"/>
  <c r="E62" i="1"/>
  <c r="N61" i="1"/>
  <c r="L61" i="1"/>
  <c r="K61" i="1"/>
  <c r="J61" i="1"/>
  <c r="I61" i="1"/>
  <c r="H61" i="1"/>
  <c r="G61" i="1"/>
  <c r="F61" i="1"/>
  <c r="E61" i="1"/>
  <c r="N60" i="1"/>
  <c r="L60" i="1"/>
  <c r="K60" i="1"/>
  <c r="J60" i="1"/>
  <c r="I60" i="1"/>
  <c r="H60" i="1"/>
  <c r="G60" i="1"/>
  <c r="F60" i="1"/>
  <c r="E60" i="1"/>
  <c r="N59" i="1"/>
  <c r="L59" i="1"/>
  <c r="K59" i="1"/>
  <c r="J59" i="1"/>
  <c r="I59" i="1"/>
  <c r="H59" i="1"/>
  <c r="G59" i="1"/>
  <c r="F59" i="1"/>
  <c r="E59" i="1"/>
  <c r="N58" i="1"/>
  <c r="L58" i="1"/>
  <c r="K58" i="1"/>
  <c r="J58" i="1"/>
  <c r="I58" i="1"/>
  <c r="H58" i="1"/>
  <c r="G58" i="1"/>
  <c r="F58" i="1"/>
  <c r="E58" i="1"/>
  <c r="N57" i="1"/>
  <c r="L57" i="1"/>
  <c r="K57" i="1"/>
  <c r="J57" i="1"/>
  <c r="I57" i="1"/>
  <c r="H57" i="1"/>
  <c r="G57" i="1"/>
  <c r="F57" i="1"/>
  <c r="E57" i="1"/>
  <c r="N56" i="1"/>
  <c r="L56" i="1"/>
  <c r="K56" i="1"/>
  <c r="J56" i="1"/>
  <c r="I56" i="1"/>
  <c r="H56" i="1"/>
  <c r="G56" i="1"/>
  <c r="F56" i="1"/>
  <c r="E56" i="1"/>
  <c r="N55" i="1"/>
  <c r="L55" i="1"/>
  <c r="K55" i="1"/>
  <c r="J55" i="1"/>
  <c r="I55" i="1"/>
  <c r="H55" i="1"/>
  <c r="G55" i="1"/>
  <c r="F55" i="1"/>
  <c r="E55" i="1"/>
  <c r="N54" i="1"/>
  <c r="L54" i="1"/>
  <c r="K54" i="1"/>
  <c r="J54" i="1"/>
  <c r="I54" i="1"/>
  <c r="H54" i="1"/>
  <c r="G54" i="1"/>
  <c r="F54" i="1"/>
  <c r="E54" i="1"/>
  <c r="N53" i="1"/>
  <c r="L53" i="1"/>
  <c r="K53" i="1"/>
  <c r="J53" i="1"/>
  <c r="I53" i="1"/>
  <c r="H53" i="1"/>
  <c r="G53" i="1"/>
  <c r="F53" i="1"/>
  <c r="E53" i="1"/>
  <c r="N52" i="1"/>
  <c r="L52" i="1"/>
  <c r="K52" i="1"/>
  <c r="J52" i="1"/>
  <c r="I52" i="1"/>
  <c r="H52" i="1"/>
  <c r="G52" i="1"/>
  <c r="F52" i="1"/>
  <c r="E52" i="1"/>
  <c r="N51" i="1"/>
  <c r="L51" i="1"/>
  <c r="K51" i="1"/>
  <c r="J51" i="1"/>
  <c r="I51" i="1"/>
  <c r="H51" i="1"/>
  <c r="G51" i="1"/>
  <c r="F51" i="1"/>
  <c r="E51" i="1"/>
  <c r="N50" i="1"/>
  <c r="L50" i="1"/>
  <c r="K50" i="1"/>
  <c r="J50" i="1"/>
  <c r="I50" i="1"/>
  <c r="H50" i="1"/>
  <c r="G50" i="1"/>
  <c r="F50" i="1"/>
  <c r="E50" i="1"/>
  <c r="N49" i="1"/>
  <c r="L49" i="1"/>
  <c r="K49" i="1"/>
  <c r="J49" i="1"/>
  <c r="I49" i="1"/>
  <c r="H49" i="1"/>
  <c r="G49" i="1"/>
  <c r="F49" i="1"/>
  <c r="E49" i="1"/>
  <c r="N48" i="1"/>
  <c r="L48" i="1"/>
  <c r="K48" i="1"/>
  <c r="J48" i="1"/>
  <c r="I48" i="1"/>
  <c r="H48" i="1"/>
  <c r="G48" i="1"/>
  <c r="F48" i="1"/>
  <c r="E48" i="1"/>
  <c r="N47" i="1"/>
  <c r="L47" i="1"/>
  <c r="K47" i="1"/>
  <c r="J47" i="1"/>
  <c r="I47" i="1"/>
  <c r="H47" i="1"/>
  <c r="G47" i="1"/>
  <c r="F47" i="1"/>
  <c r="E47" i="1"/>
  <c r="N46" i="1"/>
  <c r="L46" i="1"/>
  <c r="K46" i="1"/>
  <c r="J46" i="1"/>
  <c r="I46" i="1"/>
  <c r="H46" i="1"/>
  <c r="G46" i="1"/>
  <c r="F46" i="1"/>
  <c r="E46" i="1"/>
  <c r="N45" i="1"/>
  <c r="L45" i="1"/>
  <c r="K45" i="1"/>
  <c r="J45" i="1"/>
  <c r="I45" i="1"/>
  <c r="H45" i="1"/>
  <c r="G45" i="1"/>
  <c r="F45" i="1"/>
  <c r="E45" i="1"/>
  <c r="N44" i="1"/>
  <c r="L44" i="1"/>
  <c r="K44" i="1"/>
  <c r="J44" i="1"/>
  <c r="I44" i="1"/>
  <c r="H44" i="1"/>
  <c r="G44" i="1"/>
  <c r="F44" i="1"/>
  <c r="E44" i="1"/>
  <c r="N43" i="1"/>
  <c r="L43" i="1"/>
  <c r="K43" i="1"/>
  <c r="J43" i="1"/>
  <c r="I43" i="1"/>
  <c r="H43" i="1"/>
  <c r="G43" i="1"/>
  <c r="F43" i="1"/>
  <c r="E43" i="1"/>
  <c r="N42" i="1"/>
  <c r="L42" i="1"/>
  <c r="K42" i="1"/>
  <c r="J42" i="1"/>
  <c r="I42" i="1"/>
  <c r="H42" i="1"/>
  <c r="G42" i="1"/>
  <c r="F42" i="1"/>
  <c r="E42" i="1"/>
  <c r="N41" i="1"/>
  <c r="L41" i="1"/>
  <c r="K41" i="1"/>
  <c r="J41" i="1"/>
  <c r="I41" i="1"/>
  <c r="H41" i="1"/>
  <c r="G41" i="1"/>
  <c r="F41" i="1"/>
  <c r="E41" i="1"/>
  <c r="N40" i="1"/>
  <c r="L40" i="1"/>
  <c r="K40" i="1"/>
  <c r="J40" i="1"/>
  <c r="I40" i="1"/>
  <c r="H40" i="1"/>
  <c r="G40" i="1"/>
  <c r="F40" i="1"/>
  <c r="E40" i="1"/>
  <c r="N39" i="1"/>
  <c r="L39" i="1"/>
  <c r="K39" i="1"/>
  <c r="J39" i="1"/>
  <c r="I39" i="1"/>
  <c r="H39" i="1"/>
  <c r="G39" i="1"/>
  <c r="F39" i="1"/>
  <c r="E39" i="1"/>
  <c r="N38" i="1"/>
  <c r="L38" i="1"/>
  <c r="K38" i="1"/>
  <c r="J38" i="1"/>
  <c r="I38" i="1"/>
  <c r="H38" i="1"/>
  <c r="G38" i="1"/>
  <c r="F38" i="1"/>
  <c r="E38" i="1"/>
  <c r="N37" i="1"/>
  <c r="L37" i="1"/>
  <c r="K37" i="1"/>
  <c r="J37" i="1"/>
  <c r="I37" i="1"/>
  <c r="H37" i="1"/>
  <c r="G37" i="1"/>
  <c r="F37" i="1"/>
  <c r="E37" i="1"/>
  <c r="N36" i="1"/>
  <c r="L36" i="1"/>
  <c r="K36" i="1"/>
  <c r="J36" i="1"/>
  <c r="I36" i="1"/>
  <c r="H36" i="1"/>
  <c r="G36" i="1"/>
  <c r="F36" i="1"/>
  <c r="E36" i="1"/>
  <c r="N35" i="1"/>
  <c r="L35" i="1"/>
  <c r="K35" i="1"/>
  <c r="J35" i="1"/>
  <c r="I35" i="1"/>
  <c r="H35" i="1"/>
  <c r="G35" i="1"/>
  <c r="F35" i="1"/>
  <c r="E35" i="1"/>
  <c r="N34" i="1"/>
  <c r="L34" i="1"/>
  <c r="K34" i="1"/>
  <c r="J34" i="1"/>
  <c r="I34" i="1"/>
  <c r="H34" i="1"/>
  <c r="G34" i="1"/>
  <c r="F34" i="1"/>
  <c r="E34" i="1"/>
  <c r="N33" i="1"/>
  <c r="L33" i="1"/>
  <c r="K33" i="1"/>
  <c r="J33" i="1"/>
  <c r="I33" i="1"/>
  <c r="H33" i="1"/>
  <c r="G33" i="1"/>
  <c r="F33" i="1"/>
  <c r="E33" i="1"/>
  <c r="N32" i="1"/>
  <c r="L32" i="1"/>
  <c r="K32" i="1"/>
  <c r="J32" i="1"/>
  <c r="I32" i="1"/>
  <c r="H32" i="1"/>
  <c r="G32" i="1"/>
  <c r="F32" i="1"/>
  <c r="E32" i="1"/>
  <c r="N31" i="1"/>
  <c r="L31" i="1"/>
  <c r="K31" i="1"/>
  <c r="J31" i="1"/>
  <c r="I31" i="1"/>
  <c r="H31" i="1"/>
  <c r="G31" i="1"/>
  <c r="F31" i="1"/>
  <c r="E31" i="1"/>
  <c r="N30" i="1"/>
  <c r="L30" i="1"/>
  <c r="K30" i="1"/>
  <c r="J30" i="1"/>
  <c r="I30" i="1"/>
  <c r="H30" i="1"/>
  <c r="G30" i="1"/>
  <c r="F30" i="1"/>
  <c r="E30" i="1"/>
  <c r="N29" i="1"/>
  <c r="L29" i="1"/>
  <c r="K29" i="1"/>
  <c r="J29" i="1"/>
  <c r="I29" i="1"/>
  <c r="H29" i="1"/>
  <c r="G29" i="1"/>
  <c r="F29" i="1"/>
  <c r="E29" i="1"/>
  <c r="N28" i="1"/>
  <c r="L28" i="1"/>
  <c r="K28" i="1"/>
  <c r="J28" i="1"/>
  <c r="I28" i="1"/>
  <c r="H28" i="1"/>
  <c r="G28" i="1"/>
  <c r="F28" i="1"/>
  <c r="E28" i="1"/>
  <c r="N27" i="1"/>
  <c r="L27" i="1"/>
  <c r="K27" i="1"/>
  <c r="J27" i="1"/>
  <c r="I27" i="1"/>
  <c r="H27" i="1"/>
  <c r="G27" i="1"/>
  <c r="F27" i="1"/>
  <c r="E27" i="1"/>
  <c r="N26" i="1"/>
  <c r="L26" i="1"/>
  <c r="K26" i="1"/>
  <c r="J26" i="1"/>
  <c r="I26" i="1"/>
  <c r="H26" i="1"/>
  <c r="G26" i="1"/>
  <c r="F26" i="1"/>
  <c r="E26" i="1"/>
  <c r="N25" i="1"/>
  <c r="L25" i="1"/>
  <c r="K25" i="1"/>
  <c r="J25" i="1"/>
  <c r="I25" i="1"/>
  <c r="H25" i="1"/>
  <c r="G25" i="1"/>
  <c r="F25" i="1"/>
  <c r="E25" i="1"/>
  <c r="N24" i="1"/>
  <c r="L24" i="1"/>
  <c r="K24" i="1"/>
  <c r="J24" i="1"/>
  <c r="I24" i="1"/>
  <c r="H24" i="1"/>
  <c r="G24" i="1"/>
  <c r="F24" i="1"/>
  <c r="E24" i="1"/>
  <c r="N23" i="1"/>
  <c r="L23" i="1"/>
  <c r="K23" i="1"/>
  <c r="J23" i="1"/>
  <c r="I23" i="1"/>
  <c r="H23" i="1"/>
  <c r="G23" i="1"/>
  <c r="F23" i="1"/>
  <c r="E23" i="1"/>
  <c r="N22" i="1"/>
  <c r="L22" i="1"/>
  <c r="K22" i="1"/>
  <c r="J22" i="1"/>
  <c r="I22" i="1"/>
  <c r="H22" i="1"/>
  <c r="G22" i="1"/>
  <c r="F22" i="1"/>
  <c r="E22" i="1"/>
  <c r="N21" i="1"/>
  <c r="L21" i="1"/>
  <c r="K21" i="1"/>
  <c r="J21" i="1"/>
  <c r="I21" i="1"/>
  <c r="H21" i="1"/>
  <c r="G21" i="1"/>
  <c r="F21" i="1"/>
  <c r="E21" i="1"/>
  <c r="N20" i="1"/>
  <c r="L20" i="1"/>
  <c r="K20" i="1"/>
  <c r="J20" i="1"/>
  <c r="I20" i="1"/>
  <c r="H20" i="1"/>
  <c r="G20" i="1"/>
  <c r="F20" i="1"/>
  <c r="E20" i="1"/>
  <c r="N19" i="1"/>
  <c r="L19" i="1"/>
  <c r="K19" i="1"/>
  <c r="J19" i="1"/>
  <c r="I19" i="1"/>
  <c r="H19" i="1"/>
  <c r="G19" i="1"/>
  <c r="F19" i="1"/>
  <c r="E19" i="1"/>
  <c r="N18" i="1"/>
  <c r="L18" i="1"/>
  <c r="K18" i="1"/>
  <c r="J18" i="1"/>
  <c r="I18" i="1"/>
  <c r="H18" i="1"/>
  <c r="G18" i="1"/>
  <c r="F18" i="1"/>
  <c r="E18" i="1"/>
  <c r="N17" i="1"/>
  <c r="L17" i="1"/>
  <c r="K17" i="1"/>
  <c r="J17" i="1"/>
  <c r="I17" i="1"/>
  <c r="H17" i="1"/>
  <c r="G17" i="1"/>
  <c r="F17" i="1"/>
  <c r="E17" i="1"/>
  <c r="N16" i="1"/>
  <c r="L16" i="1"/>
  <c r="K16" i="1"/>
  <c r="J16" i="1"/>
  <c r="I16" i="1"/>
  <c r="H16" i="1"/>
  <c r="G16" i="1"/>
  <c r="F16" i="1"/>
  <c r="E16" i="1"/>
  <c r="N15" i="1"/>
  <c r="L15" i="1"/>
  <c r="K15" i="1"/>
  <c r="J15" i="1"/>
  <c r="I15" i="1"/>
  <c r="H15" i="1"/>
  <c r="G15" i="1"/>
  <c r="F15" i="1"/>
  <c r="E15" i="1"/>
  <c r="N14" i="1"/>
  <c r="L14" i="1"/>
  <c r="K14" i="1"/>
  <c r="J14" i="1"/>
  <c r="I14" i="1"/>
  <c r="H14" i="1"/>
  <c r="G14" i="1"/>
  <c r="F14" i="1"/>
  <c r="E14" i="1"/>
  <c r="N13" i="1"/>
  <c r="L13" i="1"/>
  <c r="K13" i="1"/>
  <c r="J13" i="1"/>
  <c r="I13" i="1"/>
  <c r="H13" i="1"/>
  <c r="G13" i="1"/>
  <c r="F13" i="1"/>
  <c r="E13" i="1"/>
  <c r="N12" i="1"/>
  <c r="L12" i="1"/>
  <c r="K12" i="1"/>
  <c r="J12" i="1"/>
  <c r="I12" i="1"/>
  <c r="H12" i="1"/>
  <c r="G12" i="1"/>
  <c r="F12" i="1"/>
  <c r="E12" i="1"/>
  <c r="N11" i="1"/>
  <c r="L11" i="1"/>
  <c r="K11" i="1"/>
  <c r="J11" i="1"/>
  <c r="I11" i="1"/>
  <c r="H11" i="1"/>
  <c r="G11" i="1"/>
  <c r="F11" i="1"/>
  <c r="E11" i="1"/>
  <c r="N10" i="1"/>
  <c r="L10" i="1"/>
  <c r="K10" i="1"/>
  <c r="J10" i="1"/>
  <c r="I10" i="1"/>
  <c r="H10" i="1"/>
  <c r="G10" i="1"/>
  <c r="F10" i="1"/>
  <c r="E10" i="1"/>
  <c r="N9" i="1"/>
  <c r="L9" i="1"/>
  <c r="K9" i="1"/>
  <c r="J9" i="1"/>
  <c r="I9" i="1"/>
  <c r="H9" i="1"/>
  <c r="G9" i="1"/>
  <c r="F9" i="1"/>
  <c r="E9" i="1"/>
  <c r="N8" i="1"/>
  <c r="L8" i="1"/>
  <c r="K8" i="1"/>
  <c r="J8" i="1"/>
  <c r="I8" i="1"/>
  <c r="H8" i="1"/>
  <c r="G8" i="1"/>
  <c r="F8" i="1"/>
  <c r="E8" i="1"/>
  <c r="N7" i="1"/>
  <c r="L7" i="1"/>
  <c r="K7" i="1"/>
  <c r="J7" i="1"/>
  <c r="I7" i="1"/>
  <c r="H7" i="1"/>
  <c r="G7" i="1"/>
  <c r="F7" i="1"/>
  <c r="E7" i="1"/>
  <c r="N6" i="1"/>
  <c r="L6" i="1"/>
  <c r="K6" i="1"/>
  <c r="J6" i="1"/>
  <c r="I6" i="1"/>
  <c r="H6" i="1"/>
  <c r="G6" i="1"/>
  <c r="F6" i="1"/>
  <c r="E6" i="1"/>
  <c r="N5" i="1"/>
  <c r="L5" i="1"/>
  <c r="K5" i="1"/>
  <c r="J5" i="1"/>
  <c r="I5" i="1"/>
  <c r="H5" i="1"/>
  <c r="G5" i="1"/>
  <c r="F5" i="1"/>
  <c r="E5" i="1"/>
  <c r="N4" i="1"/>
  <c r="L4" i="1"/>
  <c r="K4" i="1"/>
  <c r="J4" i="1"/>
  <c r="I4" i="1"/>
  <c r="H4" i="1"/>
  <c r="G4" i="1"/>
  <c r="F4" i="1"/>
  <c r="E4" i="1"/>
  <c r="N3" i="1"/>
  <c r="L3" i="1"/>
  <c r="K3" i="1"/>
  <c r="J3" i="1"/>
  <c r="I3" i="1"/>
  <c r="H3" i="1"/>
  <c r="G3" i="1"/>
  <c r="F3" i="1"/>
  <c r="E3" i="1"/>
  <c r="N2" i="1"/>
  <c r="L2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<sst xmlns="http://schemas.openxmlformats.org/spreadsheetml/2006/main" count="1041" uniqueCount="537">
  <si>
    <t>Transaction_ID</t>
  </si>
  <si>
    <t>Customer_ID</t>
  </si>
  <si>
    <t>Name</t>
  </si>
  <si>
    <t>City</t>
  </si>
  <si>
    <t>Age</t>
  </si>
  <si>
    <t>Gender</t>
  </si>
  <si>
    <t>Income</t>
  </si>
  <si>
    <t>Date</t>
  </si>
  <si>
    <t>Total_Purchases</t>
  </si>
  <si>
    <t>Amount</t>
  </si>
  <si>
    <t>Total_Amount</t>
  </si>
  <si>
    <t>Product_Category</t>
  </si>
  <si>
    <t>Product_Type</t>
  </si>
  <si>
    <t>Rating</t>
  </si>
  <si>
    <t>Gregory Bates</t>
  </si>
  <si>
    <t>Portsmouth</t>
  </si>
  <si>
    <t>Lauren Johnson</t>
  </si>
  <si>
    <t>Brady Stanley</t>
  </si>
  <si>
    <t>Patrick Long</t>
  </si>
  <si>
    <t>Mrs. Taylor Dixon</t>
  </si>
  <si>
    <t>Patrick Joseph</t>
  </si>
  <si>
    <t>Eric Choi</t>
  </si>
  <si>
    <t>Patrick Smith</t>
  </si>
  <si>
    <t>Christina Snow</t>
  </si>
  <si>
    <t>Heather Reed</t>
  </si>
  <si>
    <t>Christine Turner</t>
  </si>
  <si>
    <t>Gary Murphy</t>
  </si>
  <si>
    <t>Jerry Chaney</t>
  </si>
  <si>
    <t>Michelle Johnston</t>
  </si>
  <si>
    <t>Pedro Estrada</t>
  </si>
  <si>
    <t>Guy Hunter DDS</t>
  </si>
  <si>
    <t>Joanna Thomas</t>
  </si>
  <si>
    <t>Lori Bell</t>
  </si>
  <si>
    <t>Cologne</t>
  </si>
  <si>
    <t>Vickie Myers</t>
  </si>
  <si>
    <t>Steven Weiss</t>
  </si>
  <si>
    <t>Zachary Abbott</t>
  </si>
  <si>
    <t>Debbie Sanchez</t>
  </si>
  <si>
    <t>Stanley Quinn</t>
  </si>
  <si>
    <t>Christopher Barton</t>
  </si>
  <si>
    <t>Leslie Decker</t>
  </si>
  <si>
    <t>Gregory Wagner</t>
  </si>
  <si>
    <t>Thomas Stein</t>
  </si>
  <si>
    <t>Steven Riddle</t>
  </si>
  <si>
    <t>Maria Miller</t>
  </si>
  <si>
    <t>Mr. Evan Sutton</t>
  </si>
  <si>
    <t>Mario Sparks</t>
  </si>
  <si>
    <t>Ryan Cook</t>
  </si>
  <si>
    <t>John Santos</t>
  </si>
  <si>
    <t>Lisa Newman</t>
  </si>
  <si>
    <t>Christine Lewis</t>
  </si>
  <si>
    <t>Charles Rogers</t>
  </si>
  <si>
    <t>Ashley Watson</t>
  </si>
  <si>
    <t>Jessica Burke</t>
  </si>
  <si>
    <t>Craig Cooper</t>
  </si>
  <si>
    <t>Jamie Morales</t>
  </si>
  <si>
    <t>Taylor Wright</t>
  </si>
  <si>
    <t>Diane Martinez</t>
  </si>
  <si>
    <t>Sarah Reyes</t>
  </si>
  <si>
    <t>Carla Stein</t>
  </si>
  <si>
    <t>Sarah Li</t>
  </si>
  <si>
    <t>Jonathan Humphrey</t>
  </si>
  <si>
    <t>Felicia Brown</t>
  </si>
  <si>
    <t>Jesus Cole</t>
  </si>
  <si>
    <t>William Mcclain</t>
  </si>
  <si>
    <t>Deanna Miller</t>
  </si>
  <si>
    <t>Melissa Jones</t>
  </si>
  <si>
    <t>Rebekah Marsh</t>
  </si>
  <si>
    <t>Miss Adrienne Walker MD</t>
  </si>
  <si>
    <t>Alexis Smith</t>
  </si>
  <si>
    <t>Rhonda Parsons</t>
  </si>
  <si>
    <t>Kathleen Garcia</t>
  </si>
  <si>
    <t>Julie Moore</t>
  </si>
  <si>
    <t>Devin Rodriguez</t>
  </si>
  <si>
    <t>Robert Torres</t>
  </si>
  <si>
    <t>Ashley Adams</t>
  </si>
  <si>
    <t>Jennifer Rogers</t>
  </si>
  <si>
    <t>Brittany Munoz</t>
  </si>
  <si>
    <t>Gary Jackson</t>
  </si>
  <si>
    <t>Nicole Diaz</t>
  </si>
  <si>
    <t>Susan Juarez</t>
  </si>
  <si>
    <t>Don Huffman</t>
  </si>
  <si>
    <t>Carly Vega</t>
  </si>
  <si>
    <t>Suzanne Thompson</t>
  </si>
  <si>
    <t>Judy Beasley</t>
  </si>
  <si>
    <t>Matthew Franco</t>
  </si>
  <si>
    <t>Todd Hernandez</t>
  </si>
  <si>
    <t>Nicole Fisher</t>
  </si>
  <si>
    <t>Victoria Short</t>
  </si>
  <si>
    <t>Linda Smith</t>
  </si>
  <si>
    <t>Shannon Cooper</t>
  </si>
  <si>
    <t>William Carrillo</t>
  </si>
  <si>
    <t>Erica Juarez</t>
  </si>
  <si>
    <t>Robin Jackson</t>
  </si>
  <si>
    <t>Mr. Mark Thornton</t>
  </si>
  <si>
    <t>Diane Clark</t>
  </si>
  <si>
    <t>Wollongong</t>
  </si>
  <si>
    <t>Richard Morales</t>
  </si>
  <si>
    <t>James Romero</t>
  </si>
  <si>
    <t>Michael Marshall</t>
  </si>
  <si>
    <t>Justin Martin</t>
  </si>
  <si>
    <t>Tara Hawkins</t>
  </si>
  <si>
    <t>Daniel Hutchinson</t>
  </si>
  <si>
    <t>Thomas Wilson</t>
  </si>
  <si>
    <t>Diana Thomas</t>
  </si>
  <si>
    <t>Jennifer Ferguson</t>
  </si>
  <si>
    <t>James Davis</t>
  </si>
  <si>
    <t>April Scott</t>
  </si>
  <si>
    <t>Joseph Miller</t>
  </si>
  <si>
    <t>Edmonton</t>
  </si>
  <si>
    <t>Lisa Tucker</t>
  </si>
  <si>
    <t>Catherine Poole</t>
  </si>
  <si>
    <t>Lisa Flores</t>
  </si>
  <si>
    <t>Maria Tucker</t>
  </si>
  <si>
    <t>Christopher Lopez</t>
  </si>
  <si>
    <t>Zachary Rodriguez</t>
  </si>
  <si>
    <t>Anne Larson</t>
  </si>
  <si>
    <t>Samuel Mclaughlin</t>
  </si>
  <si>
    <t>Kimberly Franklin</t>
  </si>
  <si>
    <t>Michael Cole</t>
  </si>
  <si>
    <t>Mark Carter</t>
  </si>
  <si>
    <t>Sheryl Smith</t>
  </si>
  <si>
    <t>Laura Castillo</t>
  </si>
  <si>
    <t>Nathan Nelson</t>
  </si>
  <si>
    <t>Lacey Gray</t>
  </si>
  <si>
    <t>Leah Wilcox</t>
  </si>
  <si>
    <t>James Robinson</t>
  </si>
  <si>
    <t>Mario Smith</t>
  </si>
  <si>
    <t>Kathleen Stephens</t>
  </si>
  <si>
    <t>Kyle Odom</t>
  </si>
  <si>
    <t>John Carpenter</t>
  </si>
  <si>
    <t>Dalton Johnson</t>
  </si>
  <si>
    <t>Anne Andrews</t>
  </si>
  <si>
    <t>Amy Marsh</t>
  </si>
  <si>
    <t>David James</t>
  </si>
  <si>
    <t>David Colon</t>
  </si>
  <si>
    <t>Scott Porter</t>
  </si>
  <si>
    <t>Shelley Tran</t>
  </si>
  <si>
    <t>Terry Gaines</t>
  </si>
  <si>
    <t>Kimberly Jordan</t>
  </si>
  <si>
    <t>Jose Spencer</t>
  </si>
  <si>
    <t>Joshua Chang</t>
  </si>
  <si>
    <t>Alexis Carlson</t>
  </si>
  <si>
    <t>Crystal Edwards</t>
  </si>
  <si>
    <t>Victoria Mclaughlin</t>
  </si>
  <si>
    <t>Kelly Molina</t>
  </si>
  <si>
    <t>Mary Kim</t>
  </si>
  <si>
    <t>Marissa Barnett</t>
  </si>
  <si>
    <t>Renee Banks</t>
  </si>
  <si>
    <t>Nancy Mcintyre</t>
  </si>
  <si>
    <t>Natasha Carroll</t>
  </si>
  <si>
    <t>Heather Johnson</t>
  </si>
  <si>
    <t>Daniel Kelley</t>
  </si>
  <si>
    <t>Theresa Diaz</t>
  </si>
  <si>
    <t>Mary Lawson</t>
  </si>
  <si>
    <t>Lori Nelson</t>
  </si>
  <si>
    <t>Jeff Little</t>
  </si>
  <si>
    <t>Andrew Guzman</t>
  </si>
  <si>
    <t>Charles Willis</t>
  </si>
  <si>
    <t>Danielle May</t>
  </si>
  <si>
    <t>Heather Bailey</t>
  </si>
  <si>
    <t>Alicia Brown</t>
  </si>
  <si>
    <t>Nancy Smith</t>
  </si>
  <si>
    <t>Monica Santiago</t>
  </si>
  <si>
    <t>Robert Porter</t>
  </si>
  <si>
    <t>Danielle Hopkins</t>
  </si>
  <si>
    <t>David Rowe</t>
  </si>
  <si>
    <t>Timothy Rodriguez DVM</t>
  </si>
  <si>
    <t>Matthew Brown</t>
  </si>
  <si>
    <t>Jose Diaz</t>
  </si>
  <si>
    <t>Ashley Clark</t>
  </si>
  <si>
    <t>Diane Stewart</t>
  </si>
  <si>
    <t>Amanda Moore DDS</t>
  </si>
  <si>
    <t>Jacqueline Thompson</t>
  </si>
  <si>
    <t>Michael Walker</t>
  </si>
  <si>
    <t>Kristine Williams</t>
  </si>
  <si>
    <t>Cassandra Ross</t>
  </si>
  <si>
    <t>Whitney Adams</t>
  </si>
  <si>
    <t>Kyle Moreno</t>
  </si>
  <si>
    <t>Blake Dougherty</t>
  </si>
  <si>
    <t>Miranda York</t>
  </si>
  <si>
    <t>Fred Whitaker</t>
  </si>
  <si>
    <t>Gabriella Frazier</t>
  </si>
  <si>
    <t>Laura Williams</t>
  </si>
  <si>
    <t>Alex Medina</t>
  </si>
  <si>
    <t>Hector Hampton</t>
  </si>
  <si>
    <t>Matthew Holland</t>
  </si>
  <si>
    <t>Sean Woods</t>
  </si>
  <si>
    <t>Judy Green</t>
  </si>
  <si>
    <t>Charlene Chambers</t>
  </si>
  <si>
    <t>Cory Montgomery</t>
  </si>
  <si>
    <t>Allison Wright</t>
  </si>
  <si>
    <t>Zachary Smith</t>
  </si>
  <si>
    <t>Connie Hill</t>
  </si>
  <si>
    <t>Erica Humphrey</t>
  </si>
  <si>
    <t>Brandy Dyer</t>
  </si>
  <si>
    <t>Brittany Ross</t>
  </si>
  <si>
    <t>Courtney Perry</t>
  </si>
  <si>
    <t>Yolanda Martin</t>
  </si>
  <si>
    <t>Marie Robinson</t>
  </si>
  <si>
    <t>Ryan Paul</t>
  </si>
  <si>
    <t>Rita Ruiz MD</t>
  </si>
  <si>
    <t>Marissa Nguyen</t>
  </si>
  <si>
    <t>Ryan Smith</t>
  </si>
  <si>
    <t>Rebecca Jones</t>
  </si>
  <si>
    <t>Joshua Brown</t>
  </si>
  <si>
    <t>Michael Ramirez</t>
  </si>
  <si>
    <t>Michael Tyler</t>
  </si>
  <si>
    <t>Chelsea Leonard</t>
  </si>
  <si>
    <t>Jillian Harrison</t>
  </si>
  <si>
    <t>Jason Gentry</t>
  </si>
  <si>
    <t>John Payne</t>
  </si>
  <si>
    <t>Savannah Casey</t>
  </si>
  <si>
    <t>Carolyn Johnson</t>
  </si>
  <si>
    <t>Jose Velez</t>
  </si>
  <si>
    <t>Chad Cruz</t>
  </si>
  <si>
    <t>Craig Powell</t>
  </si>
  <si>
    <t>Sarah Lewis</t>
  </si>
  <si>
    <t>Kevin Reyes</t>
  </si>
  <si>
    <t>Tracy Farmer</t>
  </si>
  <si>
    <t>Teresa Maxwell</t>
  </si>
  <si>
    <t>Dawn Frazier</t>
  </si>
  <si>
    <t>Derek Perez</t>
  </si>
  <si>
    <t>Robert Perez</t>
  </si>
  <si>
    <t>Mathew Fitzgerald</t>
  </si>
  <si>
    <t>Christopher Adams</t>
  </si>
  <si>
    <t>Joshua Mclean</t>
  </si>
  <si>
    <t>Natalie Melton</t>
  </si>
  <si>
    <t>Joshua Hurley</t>
  </si>
  <si>
    <t>Alexandria Gonzalez</t>
  </si>
  <si>
    <t>Christopher Burgess</t>
  </si>
  <si>
    <t>Ricky Bates</t>
  </si>
  <si>
    <t>Michael Curtis</t>
  </si>
  <si>
    <t>Monica Peterson</t>
  </si>
  <si>
    <t>John Kelly</t>
  </si>
  <si>
    <t>Cheryl York</t>
  </si>
  <si>
    <t>Ryan Johnson</t>
  </si>
  <si>
    <t>Brisbane</t>
  </si>
  <si>
    <t>Chelsea Cummings</t>
  </si>
  <si>
    <t>Joshua Hatfield</t>
  </si>
  <si>
    <t>Tracy Morrison</t>
  </si>
  <si>
    <t>Susan Lester</t>
  </si>
  <si>
    <t>Nicholas Nelson</t>
  </si>
  <si>
    <t>Thomas Mcbride</t>
  </si>
  <si>
    <t>Brianna Williamson</t>
  </si>
  <si>
    <t>Rachel Robinson</t>
  </si>
  <si>
    <t>Sheila Grant</t>
  </si>
  <si>
    <t>Kevin Mckinney</t>
  </si>
  <si>
    <t>Evan Henderson</t>
  </si>
  <si>
    <t>Alexandra Daniel</t>
  </si>
  <si>
    <t>Jeffrey Russell</t>
  </si>
  <si>
    <t>Sherri Chambers</t>
  </si>
  <si>
    <t>Dr. Rachel Larsen</t>
  </si>
  <si>
    <t>Brittany Leon</t>
  </si>
  <si>
    <t>Jonathan Miller</t>
  </si>
  <si>
    <t>Teresa Brown</t>
  </si>
  <si>
    <t>John Woods</t>
  </si>
  <si>
    <t>Adrienne Wright</t>
  </si>
  <si>
    <t>Scott Jensen</t>
  </si>
  <si>
    <t>Geelong</t>
  </si>
  <si>
    <t>Madeline Taylor</t>
  </si>
  <si>
    <t>Miranda Gallagher</t>
  </si>
  <si>
    <t>Deanna Johnson</t>
  </si>
  <si>
    <t>Gloria Luna</t>
  </si>
  <si>
    <t>Cynthia Mckenzie</t>
  </si>
  <si>
    <t>Tony Moon</t>
  </si>
  <si>
    <t>Wyatt Spencer</t>
  </si>
  <si>
    <t>Cody Anderson</t>
  </si>
  <si>
    <t>Susan Vasquez</t>
  </si>
  <si>
    <t>William Thomas</t>
  </si>
  <si>
    <t>Michael Howe</t>
  </si>
  <si>
    <t>Adam Decker</t>
  </si>
  <si>
    <t>Karen Short</t>
  </si>
  <si>
    <t>Heather Sloan</t>
  </si>
  <si>
    <t>Elizabeth Rowe</t>
  </si>
  <si>
    <t>Richard Hodge</t>
  </si>
  <si>
    <t>Jonathan Jenkins</t>
  </si>
  <si>
    <t>Brent Gonzalez</t>
  </si>
  <si>
    <t>Shelby Perry</t>
  </si>
  <si>
    <t>Teresa West</t>
  </si>
  <si>
    <t>Todd Jackson</t>
  </si>
  <si>
    <t>Sharon Peters</t>
  </si>
  <si>
    <t>Derek Patrick</t>
  </si>
  <si>
    <t>Brittany Williams</t>
  </si>
  <si>
    <t>Zachary Diaz</t>
  </si>
  <si>
    <t>Sara Rogers</t>
  </si>
  <si>
    <t>Michele Johnson</t>
  </si>
  <si>
    <t>Ann Douglas</t>
  </si>
  <si>
    <t>Sarah Harris</t>
  </si>
  <si>
    <t>Cynthia Fisher</t>
  </si>
  <si>
    <t>Allen Calderon</t>
  </si>
  <si>
    <t>Richard Diaz</t>
  </si>
  <si>
    <t>Steven Sullivan</t>
  </si>
  <si>
    <t>James Brown</t>
  </si>
  <si>
    <t>Karina Wade</t>
  </si>
  <si>
    <t>Lindsey Bowman</t>
  </si>
  <si>
    <t>Nathan Estrada</t>
  </si>
  <si>
    <t>Kristen Vazquez</t>
  </si>
  <si>
    <t>Penny Harris</t>
  </si>
  <si>
    <t>Gregory Schultz</t>
  </si>
  <si>
    <t>Lisa Tyler</t>
  </si>
  <si>
    <t>Ronald Kim</t>
  </si>
  <si>
    <t>Tracy Carson</t>
  </si>
  <si>
    <t>Karen Hicks</t>
  </si>
  <si>
    <t>Carlos Moore</t>
  </si>
  <si>
    <t>Stuart Hutchinson</t>
  </si>
  <si>
    <t>Ryan Brown</t>
  </si>
  <si>
    <t>Tracy Baxter</t>
  </si>
  <si>
    <t>Matthew Hicks</t>
  </si>
  <si>
    <t>Kelsey Hill</t>
  </si>
  <si>
    <t>Nottingham</t>
  </si>
  <si>
    <t>Robert Lee</t>
  </si>
  <si>
    <t>Joshua Noble</t>
  </si>
  <si>
    <t>Christopher Burke</t>
  </si>
  <si>
    <t>Mitchell Mueller</t>
  </si>
  <si>
    <t>Katie Sweeney</t>
  </si>
  <si>
    <t>Holly Gordon</t>
  </si>
  <si>
    <t>Javier Wright</t>
  </si>
  <si>
    <t>Shannon Sparks</t>
  </si>
  <si>
    <t>Veronica Gregory</t>
  </si>
  <si>
    <t>Jennifer Wright</t>
  </si>
  <si>
    <t>Lauren Hayes</t>
  </si>
  <si>
    <t>Daniel Phillips</t>
  </si>
  <si>
    <t>Roy Obrien</t>
  </si>
  <si>
    <t>Darren Higgins</t>
  </si>
  <si>
    <t>Martin Giles</t>
  </si>
  <si>
    <t>Richard Lee</t>
  </si>
  <si>
    <t>Trevor Walker</t>
  </si>
  <si>
    <t>Daniel Myers</t>
  </si>
  <si>
    <t>Brittany Myers</t>
  </si>
  <si>
    <t>Ray Malone</t>
  </si>
  <si>
    <t>Kathryn Martin</t>
  </si>
  <si>
    <t>Darrell Smith</t>
  </si>
  <si>
    <t>Austin Mills</t>
  </si>
  <si>
    <t>Ann Walker</t>
  </si>
  <si>
    <t>Amanda Decker</t>
  </si>
  <si>
    <t>Alyssa Mitchell</t>
  </si>
  <si>
    <t>Anne Dominguez</t>
  </si>
  <si>
    <t>Andrea Hudson</t>
  </si>
  <si>
    <t>Brandy Cruz</t>
  </si>
  <si>
    <t>Derek Green</t>
  </si>
  <si>
    <t>Linda Spencer DVM</t>
  </si>
  <si>
    <t>Alexander Jones</t>
  </si>
  <si>
    <t>Robin Campbell</t>
  </si>
  <si>
    <t>Erin Lewis</t>
  </si>
  <si>
    <t>Kitchener</t>
  </si>
  <si>
    <t>Nathaniel Kim</t>
  </si>
  <si>
    <t>Jonathan Edwards</t>
  </si>
  <si>
    <t>Julie Mcdonald</t>
  </si>
  <si>
    <t>Teresa Mendoza</t>
  </si>
  <si>
    <t>Jennifer Crawford</t>
  </si>
  <si>
    <t>Elizabeth Oliver</t>
  </si>
  <si>
    <t>Jennifer Larson</t>
  </si>
  <si>
    <t>Julia Dodson</t>
  </si>
  <si>
    <t>Connie Murphy</t>
  </si>
  <si>
    <t>Angela Davis</t>
  </si>
  <si>
    <t>Scott Sampson II</t>
  </si>
  <si>
    <t>Rick Brown</t>
  </si>
  <si>
    <t>Joseph Pearson</t>
  </si>
  <si>
    <t>William Chavez</t>
  </si>
  <si>
    <t>Timothy Benton</t>
  </si>
  <si>
    <t>Kayla Harris</t>
  </si>
  <si>
    <t>Christopher Parker</t>
  </si>
  <si>
    <t>Bryan Edwards</t>
  </si>
  <si>
    <t>Daniel Thompson</t>
  </si>
  <si>
    <t>Travis Jones</t>
  </si>
  <si>
    <t>Ronald Wallace</t>
  </si>
  <si>
    <t>James Church</t>
  </si>
  <si>
    <t>Kelly Smith</t>
  </si>
  <si>
    <t>Elizabeth Jones</t>
  </si>
  <si>
    <t>Jeremy Spencer</t>
  </si>
  <si>
    <t>Patricia Nguyen</t>
  </si>
  <si>
    <t>Tonya Moss</t>
  </si>
  <si>
    <t>George Salazar</t>
  </si>
  <si>
    <t>Robin Ramirez</t>
  </si>
  <si>
    <t>Veronica Miles</t>
  </si>
  <si>
    <t>Sue Parker</t>
  </si>
  <si>
    <t>Steven Boyd</t>
  </si>
  <si>
    <t>Margaret Kaufman</t>
  </si>
  <si>
    <t>Renee Manning</t>
  </si>
  <si>
    <t>Rachel Hobbs</t>
  </si>
  <si>
    <t>John Arroyo</t>
  </si>
  <si>
    <t>Mike Christensen</t>
  </si>
  <si>
    <t>Robert Barnes</t>
  </si>
  <si>
    <t>Donna Hodges</t>
  </si>
  <si>
    <t>Laura Butler</t>
  </si>
  <si>
    <t>Gregory Reed</t>
  </si>
  <si>
    <t>Meredith James</t>
  </si>
  <si>
    <t>Sarah Jenkins</t>
  </si>
  <si>
    <t>Linda Sims</t>
  </si>
  <si>
    <t>Ricky Parker</t>
  </si>
  <si>
    <t>Steven Miller</t>
  </si>
  <si>
    <t>Patricia Reese</t>
  </si>
  <si>
    <t>Mark Lee</t>
  </si>
  <si>
    <t>David Parker</t>
  </si>
  <si>
    <t>Alicia Knight</t>
  </si>
  <si>
    <t>Richard Ortiz</t>
  </si>
  <si>
    <t>Vincent Lewis</t>
  </si>
  <si>
    <t>Danielle Bennett</t>
  </si>
  <si>
    <t>Erik Medina</t>
  </si>
  <si>
    <t>Gabriel Lamb</t>
  </si>
  <si>
    <t>Sara White</t>
  </si>
  <si>
    <t>David Williams</t>
  </si>
  <si>
    <t>Tim Graham</t>
  </si>
  <si>
    <t>Robert Warren</t>
  </si>
  <si>
    <t>Jack Davies</t>
  </si>
  <si>
    <t>Kimberly Holloway</t>
  </si>
  <si>
    <t>Melinda Moore</t>
  </si>
  <si>
    <t>Brenda Webster</t>
  </si>
  <si>
    <t>Maria Johnson</t>
  </si>
  <si>
    <t>Brianna Oconnor</t>
  </si>
  <si>
    <t>Jonathan Eaton</t>
  </si>
  <si>
    <t>Rebecca Alvarado</t>
  </si>
  <si>
    <t>Ellen Simpson</t>
  </si>
  <si>
    <t>Melissa Williams</t>
  </si>
  <si>
    <t>Tyler Lopez</t>
  </si>
  <si>
    <t>Derrick Baker</t>
  </si>
  <si>
    <t>Alicia Spencer</t>
  </si>
  <si>
    <t>Christina Taylor</t>
  </si>
  <si>
    <t>Michelle Harrington</t>
  </si>
  <si>
    <t>Dortmund</t>
  </si>
  <si>
    <t>Michelle Simmons</t>
  </si>
  <si>
    <t>Sarah Hess</t>
  </si>
  <si>
    <t>Michelle Spears</t>
  </si>
  <si>
    <t>Raymond Hobbs</t>
  </si>
  <si>
    <t>Jacob Arnold</t>
  </si>
  <si>
    <t>Donna Miller</t>
  </si>
  <si>
    <t>Shannon Lopez MD</t>
  </si>
  <si>
    <t>Mike Orozco</t>
  </si>
  <si>
    <t>Elizabeth Fisher</t>
  </si>
  <si>
    <t>Jennifer Stone</t>
  </si>
  <si>
    <t>Patricia Thompson</t>
  </si>
  <si>
    <t>Raymond Avila</t>
  </si>
  <si>
    <t>Donald Alvarez</t>
  </si>
  <si>
    <t>Mary Garcia</t>
  </si>
  <si>
    <t>Joseph Willis</t>
  </si>
  <si>
    <t>Priscilla Wiggins</t>
  </si>
  <si>
    <t>Katherine Stuart</t>
  </si>
  <si>
    <t>Fernando Lawson</t>
  </si>
  <si>
    <t>Joseph Barnes</t>
  </si>
  <si>
    <t>Cathy Cooper</t>
  </si>
  <si>
    <t>William Ramos</t>
  </si>
  <si>
    <t>Joshua Grimes</t>
  </si>
  <si>
    <t>Jerry Burns</t>
  </si>
  <si>
    <t>Dr. Chad Lindsey</t>
  </si>
  <si>
    <t>Jillian Perez</t>
  </si>
  <si>
    <t>Michael Perkins</t>
  </si>
  <si>
    <t>Daniel Patel</t>
  </si>
  <si>
    <t>Elizabeth Clark</t>
  </si>
  <si>
    <t>Sarah Chase</t>
  </si>
  <si>
    <t>Debra Coleman</t>
  </si>
  <si>
    <t>Bristol</t>
  </si>
  <si>
    <t>Michelle Bright</t>
  </si>
  <si>
    <t>Linda Barnett</t>
  </si>
  <si>
    <t>Susan Thomas</t>
  </si>
  <si>
    <t>Chad Myers</t>
  </si>
  <si>
    <t>Christopher Whitney</t>
  </si>
  <si>
    <t>John Phillips</t>
  </si>
  <si>
    <t>Dennis Johnson</t>
  </si>
  <si>
    <t>Ian West</t>
  </si>
  <si>
    <t>Kenneth Parker</t>
  </si>
  <si>
    <t>Gerald Andrews</t>
  </si>
  <si>
    <t>Daniel Morgan</t>
  </si>
  <si>
    <t>Ronald Chen</t>
  </si>
  <si>
    <t>Diana Barton</t>
  </si>
  <si>
    <t>Ryan Graham</t>
  </si>
  <si>
    <t>Emma Palmer</t>
  </si>
  <si>
    <t>Anthony Rodriguez</t>
  </si>
  <si>
    <t>Michael Anderson</t>
  </si>
  <si>
    <t>David Gill</t>
  </si>
  <si>
    <t>Sylvia Garcia</t>
  </si>
  <si>
    <t>Olivia Russell</t>
  </si>
  <si>
    <t>Brian Ortiz</t>
  </si>
  <si>
    <t>Kimberly Walker</t>
  </si>
  <si>
    <t>Denise Ellison</t>
  </si>
  <si>
    <t>Ryan Richmond DVM</t>
  </si>
  <si>
    <t>Jim Hansen</t>
  </si>
  <si>
    <t>Alexander Padilla</t>
  </si>
  <si>
    <t>Mrs. Maria Patrick</t>
  </si>
  <si>
    <t>Crystal Vasquez</t>
  </si>
  <si>
    <t>Kimberly Evans</t>
  </si>
  <si>
    <t>Brianna Murray</t>
  </si>
  <si>
    <t>Shawna Perez</t>
  </si>
  <si>
    <t>William Lee</t>
  </si>
  <si>
    <t>Dawn Rodriguez</t>
  </si>
  <si>
    <t>Mark Frazier</t>
  </si>
  <si>
    <t>Jillian Jackson</t>
  </si>
  <si>
    <t>Elijah Yoder</t>
  </si>
  <si>
    <t>Jessica Harrison</t>
  </si>
  <si>
    <t>Justin Jackson</t>
  </si>
  <si>
    <t>Roberta Ford</t>
  </si>
  <si>
    <t>Janet Gordon</t>
  </si>
  <si>
    <t>Scott Burke</t>
  </si>
  <si>
    <t>Curtis Martin</t>
  </si>
  <si>
    <t>Michael Gamble</t>
  </si>
  <si>
    <t>Carl Jenkins</t>
  </si>
  <si>
    <t>Michelle Murray</t>
  </si>
  <si>
    <t>Keith Wise</t>
  </si>
  <si>
    <t>Mrs. Kimberly Austin MD</t>
  </si>
  <si>
    <t>Christine Nelson</t>
  </si>
  <si>
    <t>Olivia Shea</t>
  </si>
  <si>
    <t>Pamela Smith</t>
  </si>
  <si>
    <t>Jamie Thompson</t>
  </si>
  <si>
    <t>Christine Green PhD</t>
  </si>
  <si>
    <t>Theresa Harvey</t>
  </si>
  <si>
    <t>Megan Rice</t>
  </si>
  <si>
    <t>Andrea Martin</t>
  </si>
  <si>
    <t>David Johnson</t>
  </si>
  <si>
    <t>Jonathan Smith</t>
  </si>
  <si>
    <t>Ana Perez</t>
  </si>
  <si>
    <t>Ruth Carter</t>
  </si>
  <si>
    <t>Joy Allen</t>
  </si>
  <si>
    <t>Justin Lara</t>
  </si>
  <si>
    <t>Rachael Lewis</t>
  </si>
  <si>
    <t>Carlos Stanley</t>
  </si>
  <si>
    <t>Pamela Campbell</t>
  </si>
  <si>
    <t>Elizabeth Craig</t>
  </si>
  <si>
    <t>Monica Beltran</t>
  </si>
  <si>
    <t>Jennifer Salinas</t>
  </si>
  <si>
    <t>Angela Fields</t>
  </si>
  <si>
    <t>Munich</t>
  </si>
  <si>
    <t>Sara Martinez</t>
  </si>
  <si>
    <t>Deanna Garrett</t>
  </si>
  <si>
    <t>Brian Juarez</t>
  </si>
  <si>
    <t>Christopher Knight</t>
  </si>
  <si>
    <t>Books</t>
  </si>
  <si>
    <t>Clothing</t>
  </si>
  <si>
    <t>Electronics</t>
  </si>
  <si>
    <t>Grocery</t>
  </si>
  <si>
    <t>Home Decor</t>
  </si>
  <si>
    <t>Grand Total</t>
  </si>
  <si>
    <t>Sum of Total_Amount</t>
  </si>
  <si>
    <t>Female</t>
  </si>
  <si>
    <t>Male</t>
  </si>
  <si>
    <t>unknown</t>
  </si>
  <si>
    <r>
      <t xml:space="preserve">            </t>
    </r>
    <r>
      <rPr>
        <b/>
        <sz val="11"/>
        <color theme="1"/>
        <rFont val="Calibri"/>
        <family val="2"/>
        <scheme val="minor"/>
      </rPr>
      <t>Product Category V/S Total Sales</t>
    </r>
  </si>
  <si>
    <t>Gender V/S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</si>
</sst>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al\Documents\Mini%20Project%201\retail_data.xlsx" TargetMode="External"/><Relationship Id="rId1" Type="http://schemas.openxmlformats.org/officeDocument/2006/relationships/externalLinkPath" Target="retai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ail_data"/>
      <sheetName val="New Data"/>
      <sheetName val="Cleaned Data"/>
    </sheetNames>
    <sheetDataSet>
      <sheetData sheetId="0"/>
      <sheetData sheetId="1">
        <row r="1">
          <cell r="A1" t="str">
            <v>Transaction_ID</v>
          </cell>
          <cell r="B1" t="str">
            <v>Customer_ID</v>
          </cell>
          <cell r="C1" t="str">
            <v>Name</v>
          </cell>
          <cell r="D1" t="str">
            <v>City</v>
          </cell>
          <cell r="E1" t="str">
            <v>State</v>
          </cell>
          <cell r="F1" t="str">
            <v>Country</v>
          </cell>
          <cell r="G1" t="str">
            <v>Age</v>
          </cell>
          <cell r="H1" t="str">
            <v>Age Impute</v>
          </cell>
          <cell r="I1" t="str">
            <v>Gender</v>
          </cell>
          <cell r="J1" t="str">
            <v>Gender Impute</v>
          </cell>
          <cell r="K1" t="str">
            <v>Income</v>
          </cell>
          <cell r="L1" t="str">
            <v>Customer_Segment</v>
          </cell>
          <cell r="M1" t="str">
            <v>Date</v>
          </cell>
          <cell r="N1" t="str">
            <v>Total_Purchases</v>
          </cell>
          <cell r="O1" t="str">
            <v>Total_Purchases Impute</v>
          </cell>
          <cell r="P1" t="str">
            <v>Amount</v>
          </cell>
          <cell r="Q1" t="str">
            <v>Total_Amount</v>
          </cell>
          <cell r="R1" t="str">
            <v>Product_Category</v>
          </cell>
          <cell r="S1" t="str">
            <v>Product_Category Impute</v>
          </cell>
          <cell r="T1" t="str">
            <v>Product_Type</v>
          </cell>
          <cell r="U1"/>
          <cell r="V1" t="str">
            <v>Feedback</v>
          </cell>
          <cell r="W1" t="str">
            <v>Feedback Impute</v>
          </cell>
          <cell r="X1" t="str">
            <v>Shipping_Method</v>
          </cell>
          <cell r="Y1" t="str">
            <v>Ratings</v>
          </cell>
          <cell r="Z1" t="str">
            <v>Rating Impute</v>
          </cell>
        </row>
        <row r="2">
          <cell r="A2">
            <v>8691788</v>
          </cell>
          <cell r="B2">
            <v>37249</v>
          </cell>
          <cell r="C2" t="str">
            <v>Michelle Harrington</v>
          </cell>
          <cell r="D2" t="str">
            <v>Dortmund</v>
          </cell>
          <cell r="E2" t="str">
            <v>Berlin</v>
          </cell>
          <cell r="F2" t="str">
            <v>Germany</v>
          </cell>
          <cell r="G2">
            <v>21</v>
          </cell>
          <cell r="H2">
            <v>21</v>
          </cell>
          <cell r="I2" t="str">
            <v>Male</v>
          </cell>
          <cell r="J2" t="str">
            <v>Male</v>
          </cell>
          <cell r="K2" t="str">
            <v>Low</v>
          </cell>
          <cell r="L2" t="str">
            <v>Regular</v>
          </cell>
          <cell r="M2">
            <v>45187</v>
          </cell>
          <cell r="N2">
            <v>3</v>
          </cell>
          <cell r="O2">
            <v>3</v>
          </cell>
          <cell r="P2">
            <v>108.0287567</v>
          </cell>
          <cell r="Q2">
            <v>324.08627000000001</v>
          </cell>
          <cell r="R2" t="str">
            <v>Clothing</v>
          </cell>
          <cell r="S2" t="str">
            <v>Clothing</v>
          </cell>
          <cell r="T2" t="str">
            <v>Shorts</v>
          </cell>
          <cell r="U2" t="str">
            <v>Clothing</v>
          </cell>
          <cell r="V2" t="str">
            <v>Excellent</v>
          </cell>
          <cell r="W2" t="str">
            <v>Excellent</v>
          </cell>
          <cell r="X2" t="str">
            <v>Same-Day</v>
          </cell>
          <cell r="Y2">
            <v>5</v>
          </cell>
          <cell r="Z2">
            <v>5</v>
          </cell>
        </row>
        <row r="3">
          <cell r="A3">
            <v>2174773</v>
          </cell>
          <cell r="B3">
            <v>69749</v>
          </cell>
          <cell r="C3" t="str">
            <v>Kelsey Hill</v>
          </cell>
          <cell r="D3" t="str">
            <v>Nottingham</v>
          </cell>
          <cell r="E3" t="str">
            <v>England</v>
          </cell>
          <cell r="F3" t="str">
            <v>UK</v>
          </cell>
          <cell r="G3">
            <v>19</v>
          </cell>
          <cell r="H3">
            <v>19</v>
          </cell>
          <cell r="I3" t="str">
            <v>Female</v>
          </cell>
          <cell r="J3" t="str">
            <v>Female</v>
          </cell>
          <cell r="K3" t="str">
            <v>Low</v>
          </cell>
          <cell r="L3" t="str">
            <v>Premium</v>
          </cell>
          <cell r="M3">
            <v>45291</v>
          </cell>
          <cell r="N3">
            <v>2</v>
          </cell>
          <cell r="O3">
            <v>2</v>
          </cell>
          <cell r="P3">
            <v>403.3539073</v>
          </cell>
          <cell r="Q3">
            <v>806.70781469999997</v>
          </cell>
          <cell r="R3" t="str">
            <v>Electronics</v>
          </cell>
          <cell r="S3" t="str">
            <v>Electronics</v>
          </cell>
          <cell r="T3" t="str">
            <v>Tablet</v>
          </cell>
          <cell r="U3" t="str">
            <v>Electronics</v>
          </cell>
          <cell r="V3" t="str">
            <v>Excellent</v>
          </cell>
          <cell r="W3" t="str">
            <v>Excellent</v>
          </cell>
          <cell r="X3" t="str">
            <v>Standard</v>
          </cell>
          <cell r="Y3">
            <v>4</v>
          </cell>
          <cell r="Z3">
            <v>4</v>
          </cell>
        </row>
        <row r="4">
          <cell r="A4">
            <v>6679610</v>
          </cell>
          <cell r="B4">
            <v>30192</v>
          </cell>
          <cell r="C4" t="str">
            <v>Scott Jensen</v>
          </cell>
          <cell r="D4" t="str">
            <v>Geelong</v>
          </cell>
          <cell r="E4" t="str">
            <v>New South Wales</v>
          </cell>
          <cell r="F4" t="str">
            <v>Australia</v>
          </cell>
          <cell r="G4">
            <v>48</v>
          </cell>
          <cell r="H4">
            <v>48</v>
          </cell>
          <cell r="I4" t="str">
            <v>Male</v>
          </cell>
          <cell r="J4" t="str">
            <v>Male</v>
          </cell>
          <cell r="K4" t="str">
            <v>Low</v>
          </cell>
          <cell r="L4" t="str">
            <v>Regular</v>
          </cell>
          <cell r="M4">
            <v>45042</v>
          </cell>
          <cell r="N4">
            <v>3</v>
          </cell>
          <cell r="O4">
            <v>3</v>
          </cell>
          <cell r="P4">
            <v>354.47759969999998</v>
          </cell>
          <cell r="Q4">
            <v>1063.4327989999999</v>
          </cell>
          <cell r="R4" t="str">
            <v>Books</v>
          </cell>
          <cell r="S4" t="str">
            <v>Books</v>
          </cell>
          <cell r="T4" t="str">
            <v>Children's</v>
          </cell>
          <cell r="U4" t="str">
            <v>Books</v>
          </cell>
          <cell r="V4" t="str">
            <v>Average</v>
          </cell>
          <cell r="W4" t="str">
            <v>Average</v>
          </cell>
          <cell r="X4" t="str">
            <v>Same-Day</v>
          </cell>
          <cell r="Y4">
            <v>2</v>
          </cell>
          <cell r="Z4">
            <v>2</v>
          </cell>
        </row>
        <row r="5">
          <cell r="A5">
            <v>7232460</v>
          </cell>
          <cell r="B5">
            <v>62101</v>
          </cell>
          <cell r="C5" t="str">
            <v>Joseph Miller</v>
          </cell>
          <cell r="D5" t="str">
            <v>Edmonton</v>
          </cell>
          <cell r="E5" t="str">
            <v>Ontario</v>
          </cell>
          <cell r="F5" t="str">
            <v>Canada</v>
          </cell>
          <cell r="G5">
            <v>56</v>
          </cell>
          <cell r="H5">
            <v>56</v>
          </cell>
          <cell r="I5" t="str">
            <v>Male</v>
          </cell>
          <cell r="J5" t="str">
            <v>Male</v>
          </cell>
          <cell r="K5" t="str">
            <v>High</v>
          </cell>
          <cell r="L5" t="str">
            <v>Premium</v>
          </cell>
          <cell r="M5">
            <v>45054</v>
          </cell>
          <cell r="N5">
            <v>7</v>
          </cell>
          <cell r="O5">
            <v>7</v>
          </cell>
          <cell r="P5">
            <v>352.4077173</v>
          </cell>
          <cell r="Q5">
            <v>2466.8540210000001</v>
          </cell>
          <cell r="R5" t="str">
            <v>Home Decor</v>
          </cell>
          <cell r="S5" t="str">
            <v>Home Decor</v>
          </cell>
          <cell r="T5" t="str">
            <v>Tools</v>
          </cell>
          <cell r="U5" t="str">
            <v>Home Decor</v>
          </cell>
          <cell r="V5" t="str">
            <v>Excellent</v>
          </cell>
          <cell r="W5" t="str">
            <v>Excellent</v>
          </cell>
          <cell r="X5" t="str">
            <v>Standard</v>
          </cell>
          <cell r="Y5">
            <v>4</v>
          </cell>
          <cell r="Z5">
            <v>4</v>
          </cell>
        </row>
        <row r="6">
          <cell r="A6">
            <v>4983775</v>
          </cell>
          <cell r="B6">
            <v>27901</v>
          </cell>
          <cell r="C6" t="str">
            <v>Debra Coleman</v>
          </cell>
          <cell r="D6" t="str">
            <v>Bristol</v>
          </cell>
          <cell r="E6" t="str">
            <v>England</v>
          </cell>
          <cell r="F6" t="str">
            <v>UK</v>
          </cell>
          <cell r="G6">
            <v>22</v>
          </cell>
          <cell r="H6">
            <v>22</v>
          </cell>
          <cell r="I6" t="str">
            <v>Male</v>
          </cell>
          <cell r="J6" t="str">
            <v>Male</v>
          </cell>
          <cell r="K6" t="str">
            <v>Low</v>
          </cell>
          <cell r="L6" t="str">
            <v>Premium</v>
          </cell>
          <cell r="M6">
            <v>45301</v>
          </cell>
          <cell r="N6">
            <v>2</v>
          </cell>
          <cell r="O6">
            <v>2</v>
          </cell>
          <cell r="P6">
            <v>124.27652449999999</v>
          </cell>
          <cell r="Q6">
            <v>248.55304910000001</v>
          </cell>
          <cell r="R6" t="str">
            <v>Grocery</v>
          </cell>
          <cell r="S6" t="str">
            <v>Grocery</v>
          </cell>
          <cell r="T6" t="str">
            <v>Chocolate</v>
          </cell>
          <cell r="U6" t="str">
            <v>Grocery</v>
          </cell>
          <cell r="V6" t="str">
            <v>Bad</v>
          </cell>
          <cell r="W6" t="str">
            <v>Bad</v>
          </cell>
          <cell r="X6" t="str">
            <v>Standard</v>
          </cell>
          <cell r="Y6">
            <v>1</v>
          </cell>
          <cell r="Z6">
            <v>1</v>
          </cell>
        </row>
        <row r="7">
          <cell r="A7">
            <v>6095326</v>
          </cell>
          <cell r="B7">
            <v>41289</v>
          </cell>
          <cell r="C7" t="str">
            <v>Ryan Johnson</v>
          </cell>
          <cell r="D7" t="str">
            <v>Brisbane</v>
          </cell>
          <cell r="E7" t="str">
            <v>New South Wales</v>
          </cell>
          <cell r="F7" t="str">
            <v>Australia</v>
          </cell>
          <cell r="G7">
            <v>58</v>
          </cell>
          <cell r="H7">
            <v>58</v>
          </cell>
          <cell r="I7" t="str">
            <v>Female</v>
          </cell>
          <cell r="J7" t="str">
            <v>Female</v>
          </cell>
          <cell r="K7" t="str">
            <v>Medium</v>
          </cell>
          <cell r="L7" t="str">
            <v>Premium</v>
          </cell>
          <cell r="M7">
            <v>45190</v>
          </cell>
          <cell r="N7">
            <v>4</v>
          </cell>
          <cell r="O7">
            <v>4</v>
          </cell>
          <cell r="P7">
            <v>296.29180589999999</v>
          </cell>
          <cell r="Q7">
            <v>1185.167224</v>
          </cell>
          <cell r="R7" t="str">
            <v>Electronics</v>
          </cell>
          <cell r="S7" t="str">
            <v>Electronics</v>
          </cell>
          <cell r="T7" t="str">
            <v>Tablet</v>
          </cell>
          <cell r="U7" t="str">
            <v>Electronics</v>
          </cell>
          <cell r="V7" t="str">
            <v>Good</v>
          </cell>
          <cell r="W7" t="str">
            <v>Good</v>
          </cell>
          <cell r="X7" t="str">
            <v>Express</v>
          </cell>
          <cell r="Y7">
            <v>4</v>
          </cell>
          <cell r="Z7">
            <v>4</v>
          </cell>
        </row>
        <row r="8">
          <cell r="A8">
            <v>5434096</v>
          </cell>
          <cell r="B8">
            <v>97285</v>
          </cell>
          <cell r="C8" t="str">
            <v>Erin Lewis</v>
          </cell>
          <cell r="D8" t="str">
            <v>Kitchener</v>
          </cell>
          <cell r="E8" t="str">
            <v>Ontario</v>
          </cell>
          <cell r="F8" t="str">
            <v>Canada</v>
          </cell>
          <cell r="G8">
            <v>29</v>
          </cell>
          <cell r="H8">
            <v>29</v>
          </cell>
          <cell r="I8" t="str">
            <v>Female</v>
          </cell>
          <cell r="J8" t="str">
            <v>Female</v>
          </cell>
          <cell r="K8" t="str">
            <v>Low</v>
          </cell>
          <cell r="L8" t="str">
            <v>New</v>
          </cell>
          <cell r="M8">
            <v>45103</v>
          </cell>
          <cell r="N8">
            <v>2</v>
          </cell>
          <cell r="O8">
            <v>2</v>
          </cell>
          <cell r="P8">
            <v>315.0576476</v>
          </cell>
          <cell r="Q8">
            <v>630.11529510000003</v>
          </cell>
          <cell r="R8" t="str">
            <v>Electronics</v>
          </cell>
          <cell r="S8" t="str">
            <v>Electronics</v>
          </cell>
          <cell r="T8" t="str">
            <v>Television</v>
          </cell>
          <cell r="U8" t="str">
            <v>Electronics</v>
          </cell>
          <cell r="V8" t="str">
            <v>Bad</v>
          </cell>
          <cell r="W8" t="str">
            <v>Bad</v>
          </cell>
          <cell r="X8" t="str">
            <v>Standard</v>
          </cell>
          <cell r="Y8">
            <v>1</v>
          </cell>
          <cell r="Z8">
            <v>1</v>
          </cell>
        </row>
        <row r="9">
          <cell r="A9">
            <v>2344675</v>
          </cell>
          <cell r="B9">
            <v>26603</v>
          </cell>
          <cell r="C9" t="str">
            <v>Angela Fields</v>
          </cell>
          <cell r="D9" t="str">
            <v>Munich</v>
          </cell>
          <cell r="E9" t="str">
            <v>Berlin</v>
          </cell>
          <cell r="F9" t="str">
            <v>Germany</v>
          </cell>
          <cell r="G9">
            <v>29</v>
          </cell>
          <cell r="H9">
            <v>29</v>
          </cell>
          <cell r="I9" t="str">
            <v>Male</v>
          </cell>
          <cell r="J9" t="str">
            <v>Male</v>
          </cell>
          <cell r="K9" t="str">
            <v>Medium</v>
          </cell>
          <cell r="L9" t="str">
            <v>Premium</v>
          </cell>
          <cell r="M9">
            <v>45009</v>
          </cell>
          <cell r="N9">
            <v>1</v>
          </cell>
          <cell r="O9">
            <v>1</v>
          </cell>
          <cell r="P9">
            <v>46.588070379999998</v>
          </cell>
          <cell r="Q9">
            <v>46.588070379999998</v>
          </cell>
          <cell r="R9" t="str">
            <v>Clothing</v>
          </cell>
          <cell r="S9" t="str">
            <v>Clothing</v>
          </cell>
          <cell r="T9" t="str">
            <v>Shirt</v>
          </cell>
          <cell r="U9" t="str">
            <v>Clothing</v>
          </cell>
          <cell r="V9" t="str">
            <v>Bad</v>
          </cell>
          <cell r="W9" t="str">
            <v>Bad</v>
          </cell>
          <cell r="X9" t="str">
            <v>Same-Day</v>
          </cell>
          <cell r="Y9">
            <v>1</v>
          </cell>
          <cell r="Z9">
            <v>1</v>
          </cell>
        </row>
        <row r="10">
          <cell r="A10">
            <v>4155845</v>
          </cell>
          <cell r="B10">
            <v>80175</v>
          </cell>
          <cell r="C10" t="str">
            <v>Diane Clark</v>
          </cell>
          <cell r="D10" t="str">
            <v>Wollongong</v>
          </cell>
          <cell r="E10" t="str">
            <v>New South Wales</v>
          </cell>
          <cell r="F10" t="str">
            <v>Australia</v>
          </cell>
          <cell r="G10">
            <v>46</v>
          </cell>
          <cell r="H10">
            <v>46</v>
          </cell>
          <cell r="I10" t="str">
            <v>Male</v>
          </cell>
          <cell r="J10" t="str">
            <v>Male</v>
          </cell>
          <cell r="K10" t="str">
            <v>Medium</v>
          </cell>
          <cell r="L10" t="str">
            <v>New</v>
          </cell>
          <cell r="M10">
            <v>45297</v>
          </cell>
          <cell r="N10">
            <v>8</v>
          </cell>
          <cell r="O10">
            <v>8</v>
          </cell>
          <cell r="P10">
            <v>328.83930170000002</v>
          </cell>
          <cell r="Q10">
            <v>2630.7144130000001</v>
          </cell>
          <cell r="R10" t="str">
            <v>Grocery</v>
          </cell>
          <cell r="S10" t="str">
            <v>Grocery</v>
          </cell>
          <cell r="T10" t="str">
            <v>Chocolate</v>
          </cell>
          <cell r="U10" t="str">
            <v>Grocery</v>
          </cell>
          <cell r="V10" t="str">
            <v>Bad</v>
          </cell>
          <cell r="W10" t="str">
            <v>Bad</v>
          </cell>
          <cell r="X10" t="str">
            <v>Same-Day</v>
          </cell>
          <cell r="Y10">
            <v>1</v>
          </cell>
          <cell r="Z10">
            <v>1</v>
          </cell>
        </row>
        <row r="11">
          <cell r="A11">
            <v>4926148</v>
          </cell>
          <cell r="B11">
            <v>31878</v>
          </cell>
          <cell r="C11" t="str">
            <v>Lori Bell</v>
          </cell>
          <cell r="D11" t="str">
            <v>Cologne</v>
          </cell>
          <cell r="E11" t="str">
            <v>Berlin</v>
          </cell>
          <cell r="F11" t="str">
            <v>Germany</v>
          </cell>
          <cell r="G11">
            <v>25</v>
          </cell>
          <cell r="H11">
            <v>25</v>
          </cell>
          <cell r="I11" t="str">
            <v>Male</v>
          </cell>
          <cell r="J11" t="str">
            <v>Male</v>
          </cell>
          <cell r="K11" t="str">
            <v>Medium</v>
          </cell>
          <cell r="L11" t="str">
            <v>New</v>
          </cell>
          <cell r="M11">
            <v>45203</v>
          </cell>
          <cell r="N11">
            <v>10</v>
          </cell>
          <cell r="O11">
            <v>10</v>
          </cell>
          <cell r="P11">
            <v>397.61122949999998</v>
          </cell>
          <cell r="Q11">
            <v>3976.1122949999999</v>
          </cell>
          <cell r="R11" t="str">
            <v>Home Decor</v>
          </cell>
          <cell r="S11" t="str">
            <v>Home Decor</v>
          </cell>
          <cell r="T11" t="str">
            <v>Decorations</v>
          </cell>
          <cell r="U11" t="str">
            <v>Home Decor</v>
          </cell>
          <cell r="V11" t="str">
            <v>Excellent</v>
          </cell>
          <cell r="W11" t="str">
            <v>Excellent</v>
          </cell>
          <cell r="X11" t="str">
            <v>Standard</v>
          </cell>
          <cell r="Y11">
            <v>4</v>
          </cell>
          <cell r="Z11">
            <v>4</v>
          </cell>
        </row>
        <row r="12">
          <cell r="A12">
            <v>8493213</v>
          </cell>
          <cell r="B12">
            <v>19136</v>
          </cell>
          <cell r="C12" t="str">
            <v>Jonathan Eaton</v>
          </cell>
          <cell r="D12" t="str">
            <v>Portsmouth</v>
          </cell>
          <cell r="E12" t="str">
            <v>England</v>
          </cell>
          <cell r="F12" t="str">
            <v>UK</v>
          </cell>
          <cell r="G12">
            <v>64</v>
          </cell>
          <cell r="H12">
            <v>64</v>
          </cell>
          <cell r="I12" t="str">
            <v>Female</v>
          </cell>
          <cell r="J12" t="str">
            <v>Female</v>
          </cell>
          <cell r="K12" t="str">
            <v>Low</v>
          </cell>
          <cell r="L12" t="str">
            <v>Regular</v>
          </cell>
          <cell r="M12">
            <v>45127</v>
          </cell>
          <cell r="N12">
            <v>4</v>
          </cell>
          <cell r="O12">
            <v>4</v>
          </cell>
          <cell r="P12">
            <v>90.981869750000001</v>
          </cell>
          <cell r="Q12">
            <v>363.92747900000001</v>
          </cell>
          <cell r="R12" t="str">
            <v>Home Decor</v>
          </cell>
          <cell r="S12" t="str">
            <v>Home Decor</v>
          </cell>
          <cell r="T12" t="str">
            <v>Tools</v>
          </cell>
          <cell r="U12" t="str">
            <v>Home Decor</v>
          </cell>
          <cell r="V12" t="str">
            <v>Average</v>
          </cell>
          <cell r="W12" t="str">
            <v>Average</v>
          </cell>
          <cell r="X12" t="str">
            <v>Standard</v>
          </cell>
          <cell r="Y12">
            <v>2</v>
          </cell>
          <cell r="Z12">
            <v>2</v>
          </cell>
        </row>
        <row r="13">
          <cell r="A13">
            <v>1609659</v>
          </cell>
          <cell r="B13">
            <v>66883</v>
          </cell>
          <cell r="C13" t="str">
            <v>Brianna Oconnor</v>
          </cell>
          <cell r="D13" t="str">
            <v>Portsmouth</v>
          </cell>
          <cell r="E13" t="str">
            <v>England</v>
          </cell>
          <cell r="F13" t="str">
            <v>UK</v>
          </cell>
          <cell r="G13">
            <v>31</v>
          </cell>
          <cell r="H13">
            <v>31</v>
          </cell>
          <cell r="I13" t="str">
            <v>Female</v>
          </cell>
          <cell r="J13" t="str">
            <v>Female</v>
          </cell>
          <cell r="K13" t="str">
            <v>Medium</v>
          </cell>
          <cell r="L13" t="str">
            <v>Regular</v>
          </cell>
          <cell r="M13">
            <v>45098</v>
          </cell>
          <cell r="N13">
            <v>1</v>
          </cell>
          <cell r="O13">
            <v>1</v>
          </cell>
          <cell r="P13">
            <v>364.83056690000001</v>
          </cell>
          <cell r="Q13">
            <v>364.83056690000001</v>
          </cell>
          <cell r="R13" t="str">
            <v>Books</v>
          </cell>
          <cell r="S13" t="str">
            <v>Books</v>
          </cell>
          <cell r="T13" t="str">
            <v>Non-Fiction</v>
          </cell>
          <cell r="U13" t="str">
            <v>Books</v>
          </cell>
          <cell r="V13" t="str">
            <v>Average</v>
          </cell>
          <cell r="W13" t="str">
            <v>Average</v>
          </cell>
          <cell r="X13" t="str">
            <v>Standard</v>
          </cell>
          <cell r="Y13">
            <v>2</v>
          </cell>
          <cell r="Z13">
            <v>2</v>
          </cell>
        </row>
        <row r="14">
          <cell r="A14">
            <v>2846832</v>
          </cell>
          <cell r="B14">
            <v>31930</v>
          </cell>
          <cell r="C14" t="str">
            <v>Kristine Williams</v>
          </cell>
          <cell r="D14" t="str">
            <v>Portsmouth</v>
          </cell>
          <cell r="E14" t="str">
            <v>England</v>
          </cell>
          <cell r="F14" t="str">
            <v>UK</v>
          </cell>
          <cell r="G14">
            <v>56</v>
          </cell>
          <cell r="H14">
            <v>56</v>
          </cell>
          <cell r="I14" t="str">
            <v>Female</v>
          </cell>
          <cell r="J14" t="str">
            <v>Female</v>
          </cell>
          <cell r="K14" t="str">
            <v>Medium</v>
          </cell>
          <cell r="L14" t="str">
            <v>Regular</v>
          </cell>
          <cell r="M14">
            <v>45293</v>
          </cell>
          <cell r="N14">
            <v>10</v>
          </cell>
          <cell r="O14">
            <v>10</v>
          </cell>
          <cell r="P14">
            <v>161.87936099999999</v>
          </cell>
          <cell r="Q14">
            <v>1618.7936099999999</v>
          </cell>
          <cell r="R14" t="str">
            <v>Grocery</v>
          </cell>
          <cell r="S14" t="str">
            <v>Grocery</v>
          </cell>
          <cell r="T14" t="str">
            <v>Water</v>
          </cell>
          <cell r="U14" t="str">
            <v>Grocery</v>
          </cell>
          <cell r="V14" t="str">
            <v>Bad</v>
          </cell>
          <cell r="W14" t="str">
            <v>Bad</v>
          </cell>
          <cell r="X14" t="str">
            <v>Standard</v>
          </cell>
          <cell r="Y14">
            <v>1</v>
          </cell>
          <cell r="Z14">
            <v>1</v>
          </cell>
        </row>
        <row r="15">
          <cell r="A15">
            <v>3217461</v>
          </cell>
          <cell r="B15">
            <v>74671</v>
          </cell>
          <cell r="C15" t="str">
            <v>Felicia Brown</v>
          </cell>
          <cell r="D15" t="str">
            <v>Portsmouth</v>
          </cell>
          <cell r="E15" t="str">
            <v>England</v>
          </cell>
          <cell r="F15" t="str">
            <v>UK</v>
          </cell>
          <cell r="G15">
            <v>53</v>
          </cell>
          <cell r="H15">
            <v>53</v>
          </cell>
          <cell r="I15" t="str">
            <v>Female</v>
          </cell>
          <cell r="J15" t="str">
            <v>Female</v>
          </cell>
          <cell r="K15" t="str">
            <v>Medium</v>
          </cell>
          <cell r="L15" t="str">
            <v>Regular</v>
          </cell>
          <cell r="M15">
            <v>45053</v>
          </cell>
          <cell r="N15">
            <v>9</v>
          </cell>
          <cell r="O15">
            <v>9</v>
          </cell>
          <cell r="P15">
            <v>350.81701579999998</v>
          </cell>
          <cell r="Q15">
            <v>3157.3531419999999</v>
          </cell>
          <cell r="R15" t="str">
            <v>Grocery</v>
          </cell>
          <cell r="S15" t="str">
            <v>Grocery</v>
          </cell>
          <cell r="T15" t="str">
            <v>Snacks</v>
          </cell>
          <cell r="U15" t="str">
            <v>Grocery</v>
          </cell>
          <cell r="V15" t="str">
            <v>Excellent</v>
          </cell>
          <cell r="W15" t="str">
            <v>Excellent</v>
          </cell>
          <cell r="X15" t="str">
            <v>Express</v>
          </cell>
          <cell r="Y15">
            <v>4</v>
          </cell>
          <cell r="Z15">
            <v>4</v>
          </cell>
        </row>
        <row r="16">
          <cell r="A16">
            <v>2401331</v>
          </cell>
          <cell r="B16">
            <v>98300</v>
          </cell>
          <cell r="C16" t="str">
            <v>Andrew Guzman</v>
          </cell>
          <cell r="D16" t="str">
            <v>Portsmouth</v>
          </cell>
          <cell r="E16" t="str">
            <v>England</v>
          </cell>
          <cell r="F16" t="str">
            <v>UK</v>
          </cell>
          <cell r="G16">
            <v>32</v>
          </cell>
          <cell r="H16">
            <v>32</v>
          </cell>
          <cell r="I16" t="str">
            <v>Female</v>
          </cell>
          <cell r="J16" t="str">
            <v>Female</v>
          </cell>
          <cell r="K16" t="str">
            <v>High</v>
          </cell>
          <cell r="L16" t="str">
            <v>Regular</v>
          </cell>
          <cell r="M16">
            <v>45248</v>
          </cell>
          <cell r="N16">
            <v>6</v>
          </cell>
          <cell r="O16">
            <v>6</v>
          </cell>
          <cell r="P16">
            <v>297.72603909999998</v>
          </cell>
          <cell r="Q16">
            <v>1786.356235</v>
          </cell>
          <cell r="R16" t="str">
            <v>Clothing</v>
          </cell>
          <cell r="S16" t="str">
            <v>Clothing</v>
          </cell>
          <cell r="T16" t="str">
            <v>T-shirt</v>
          </cell>
          <cell r="U16" t="str">
            <v>Clothing</v>
          </cell>
          <cell r="V16" t="str">
            <v>Bad</v>
          </cell>
          <cell r="W16" t="str">
            <v>Bad</v>
          </cell>
          <cell r="X16" t="str">
            <v>Same-Day</v>
          </cell>
          <cell r="Y16">
            <v>1</v>
          </cell>
          <cell r="Z16">
            <v>1</v>
          </cell>
        </row>
        <row r="17">
          <cell r="A17">
            <v>4969987</v>
          </cell>
          <cell r="B17">
            <v>64995</v>
          </cell>
          <cell r="C17" t="str">
            <v>Justin Lara</v>
          </cell>
          <cell r="D17" t="str">
            <v>Portsmouth</v>
          </cell>
          <cell r="E17" t="str">
            <v>England</v>
          </cell>
          <cell r="F17" t="str">
            <v>UK</v>
          </cell>
          <cell r="G17">
            <v>43</v>
          </cell>
          <cell r="H17">
            <v>43</v>
          </cell>
          <cell r="I17" t="str">
            <v>Male</v>
          </cell>
          <cell r="J17" t="str">
            <v>Male</v>
          </cell>
          <cell r="K17" t="str">
            <v>Medium</v>
          </cell>
          <cell r="L17" t="str">
            <v>Regular</v>
          </cell>
          <cell r="M17">
            <v>45092</v>
          </cell>
          <cell r="N17">
            <v>3</v>
          </cell>
          <cell r="O17">
            <v>3</v>
          </cell>
          <cell r="P17">
            <v>23.723901219999998</v>
          </cell>
          <cell r="Q17">
            <v>71.171703669999999</v>
          </cell>
          <cell r="R17" t="str">
            <v>Books</v>
          </cell>
          <cell r="S17" t="str">
            <v>Books</v>
          </cell>
          <cell r="T17" t="str">
            <v>Literature</v>
          </cell>
          <cell r="U17" t="str">
            <v>Books</v>
          </cell>
          <cell r="V17" t="str">
            <v>Bad</v>
          </cell>
          <cell r="W17" t="str">
            <v>Bad</v>
          </cell>
          <cell r="X17" t="str">
            <v>Express</v>
          </cell>
          <cell r="Y17">
            <v>1</v>
          </cell>
          <cell r="Z17">
            <v>1</v>
          </cell>
        </row>
        <row r="18">
          <cell r="A18">
            <v>6681000</v>
          </cell>
          <cell r="B18">
            <v>69939</v>
          </cell>
          <cell r="C18" t="str">
            <v>Jessica Harrison</v>
          </cell>
          <cell r="D18" t="str">
            <v>Portsmouth</v>
          </cell>
          <cell r="E18" t="str">
            <v>England</v>
          </cell>
          <cell r="F18" t="str">
            <v>UK</v>
          </cell>
          <cell r="G18">
            <v>69</v>
          </cell>
          <cell r="H18">
            <v>69</v>
          </cell>
          <cell r="I18" t="str">
            <v>Male</v>
          </cell>
          <cell r="J18" t="str">
            <v>Male</v>
          </cell>
          <cell r="K18" t="str">
            <v>Low</v>
          </cell>
          <cell r="L18" t="str">
            <v>Regular</v>
          </cell>
          <cell r="M18">
            <v>45108</v>
          </cell>
          <cell r="N18">
            <v>10</v>
          </cell>
          <cell r="O18">
            <v>10</v>
          </cell>
          <cell r="P18">
            <v>14.72716425</v>
          </cell>
          <cell r="Q18">
            <v>147.27164250000001</v>
          </cell>
          <cell r="R18" t="str">
            <v>Grocery</v>
          </cell>
          <cell r="S18" t="str">
            <v>Grocery</v>
          </cell>
          <cell r="T18" t="str">
            <v>Water</v>
          </cell>
          <cell r="U18" t="str">
            <v>Grocery</v>
          </cell>
          <cell r="V18" t="str">
            <v>Average</v>
          </cell>
          <cell r="W18" t="str">
            <v>Average</v>
          </cell>
          <cell r="X18" t="str">
            <v>Same-Day</v>
          </cell>
          <cell r="Y18">
            <v>2</v>
          </cell>
          <cell r="Z18">
            <v>2</v>
          </cell>
        </row>
        <row r="19">
          <cell r="A19">
            <v>2430572</v>
          </cell>
          <cell r="B19">
            <v>71803</v>
          </cell>
          <cell r="C19" t="str">
            <v>Alicia Knight</v>
          </cell>
          <cell r="D19" t="str">
            <v>Portsmouth</v>
          </cell>
          <cell r="E19" t="str">
            <v>England</v>
          </cell>
          <cell r="F19" t="str">
            <v>UK</v>
          </cell>
          <cell r="G19">
            <v>19</v>
          </cell>
          <cell r="H19">
            <v>19</v>
          </cell>
          <cell r="I19" t="str">
            <v>Female</v>
          </cell>
          <cell r="J19" t="str">
            <v>Female</v>
          </cell>
          <cell r="K19" t="str">
            <v>High</v>
          </cell>
          <cell r="L19" t="str">
            <v>Regular</v>
          </cell>
          <cell r="M19">
            <v>45030</v>
          </cell>
          <cell r="N19">
            <v>3</v>
          </cell>
          <cell r="O19">
            <v>3</v>
          </cell>
          <cell r="P19">
            <v>139.786855</v>
          </cell>
          <cell r="Q19">
            <v>419.36056509999997</v>
          </cell>
          <cell r="R19" t="str">
            <v>Electronics</v>
          </cell>
          <cell r="S19" t="str">
            <v>Electronics</v>
          </cell>
          <cell r="T19" t="str">
            <v>Tablet</v>
          </cell>
          <cell r="U19" t="str">
            <v>Electronics</v>
          </cell>
          <cell r="V19" t="str">
            <v>Good</v>
          </cell>
          <cell r="W19" t="str">
            <v>Good</v>
          </cell>
          <cell r="X19" t="str">
            <v>Express</v>
          </cell>
          <cell r="Y19">
            <v>3</v>
          </cell>
          <cell r="Z19">
            <v>3</v>
          </cell>
        </row>
        <row r="20">
          <cell r="A20">
            <v>7728099</v>
          </cell>
          <cell r="B20">
            <v>78376</v>
          </cell>
          <cell r="C20" t="str">
            <v>Ronald Chen</v>
          </cell>
          <cell r="D20" t="str">
            <v>Portsmouth</v>
          </cell>
          <cell r="E20" t="str">
            <v>England</v>
          </cell>
          <cell r="F20" t="str">
            <v>UK</v>
          </cell>
          <cell r="G20">
            <v>49</v>
          </cell>
          <cell r="H20">
            <v>49</v>
          </cell>
          <cell r="I20" t="str">
            <v>Male</v>
          </cell>
          <cell r="J20" t="str">
            <v>Male</v>
          </cell>
          <cell r="K20" t="str">
            <v>Low</v>
          </cell>
          <cell r="L20" t="str">
            <v>Regular</v>
          </cell>
          <cell r="M20">
            <v>45329</v>
          </cell>
          <cell r="N20">
            <v>1</v>
          </cell>
          <cell r="O20">
            <v>1</v>
          </cell>
          <cell r="P20">
            <v>210.13791879999999</v>
          </cell>
          <cell r="Q20">
            <v>210.13791879999999</v>
          </cell>
          <cell r="R20" t="str">
            <v>Grocery</v>
          </cell>
          <cell r="S20" t="str">
            <v>Grocery</v>
          </cell>
          <cell r="T20" t="str">
            <v>Juice</v>
          </cell>
          <cell r="U20" t="str">
            <v>Grocery</v>
          </cell>
          <cell r="V20" t="str">
            <v>Bad</v>
          </cell>
          <cell r="W20" t="str">
            <v>Bad</v>
          </cell>
          <cell r="X20" t="str">
            <v>Express</v>
          </cell>
          <cell r="Y20">
            <v>1</v>
          </cell>
          <cell r="Z20">
            <v>1</v>
          </cell>
        </row>
        <row r="21">
          <cell r="A21">
            <v>3489336</v>
          </cell>
          <cell r="B21">
            <v>40654</v>
          </cell>
          <cell r="C21" t="str">
            <v>Sara Rogers</v>
          </cell>
          <cell r="D21" t="str">
            <v>Portsmouth</v>
          </cell>
          <cell r="E21" t="str">
            <v>England</v>
          </cell>
          <cell r="F21" t="str">
            <v>UK</v>
          </cell>
          <cell r="G21">
            <v>69</v>
          </cell>
          <cell r="H21">
            <v>69</v>
          </cell>
          <cell r="I21" t="str">
            <v>Male</v>
          </cell>
          <cell r="J21" t="str">
            <v>Male</v>
          </cell>
          <cell r="K21" t="str">
            <v>Low</v>
          </cell>
          <cell r="L21" t="str">
            <v>Regular</v>
          </cell>
          <cell r="M21">
            <v>45223</v>
          </cell>
          <cell r="N21">
            <v>2</v>
          </cell>
          <cell r="O21">
            <v>2</v>
          </cell>
          <cell r="P21">
            <v>469.65963920000002</v>
          </cell>
          <cell r="Q21">
            <v>939.31927829999995</v>
          </cell>
          <cell r="R21" t="str">
            <v>Home Decor</v>
          </cell>
          <cell r="S21" t="str">
            <v>Home Decor</v>
          </cell>
          <cell r="T21" t="str">
            <v>Furniture</v>
          </cell>
          <cell r="U21" t="str">
            <v>Home Decor</v>
          </cell>
          <cell r="V21" t="str">
            <v>Average</v>
          </cell>
          <cell r="W21" t="str">
            <v>Average</v>
          </cell>
          <cell r="X21" t="str">
            <v>Standard</v>
          </cell>
          <cell r="Y21">
            <v>2</v>
          </cell>
          <cell r="Z21">
            <v>2</v>
          </cell>
        </row>
        <row r="22">
          <cell r="A22">
            <v>6925572</v>
          </cell>
          <cell r="B22">
            <v>42165</v>
          </cell>
          <cell r="C22" t="str">
            <v>Daniel Hutchinson</v>
          </cell>
          <cell r="D22" t="str">
            <v>Portsmouth</v>
          </cell>
          <cell r="E22" t="str">
            <v>England</v>
          </cell>
          <cell r="F22" t="str">
            <v>UK</v>
          </cell>
          <cell r="G22">
            <v>46</v>
          </cell>
          <cell r="H22">
            <v>46</v>
          </cell>
          <cell r="I22" t="str">
            <v>Male</v>
          </cell>
          <cell r="J22" t="str">
            <v>Male</v>
          </cell>
          <cell r="K22" t="str">
            <v>Low</v>
          </cell>
          <cell r="L22" t="str">
            <v>Regular</v>
          </cell>
          <cell r="M22">
            <v>45006</v>
          </cell>
          <cell r="N22">
            <v>6</v>
          </cell>
          <cell r="O22">
            <v>6</v>
          </cell>
          <cell r="P22">
            <v>420.87502979999999</v>
          </cell>
          <cell r="Q22">
            <v>2525.2501790000001</v>
          </cell>
          <cell r="R22" t="str">
            <v>Grocery</v>
          </cell>
          <cell r="S22" t="str">
            <v>Grocery</v>
          </cell>
          <cell r="T22" t="str">
            <v>Coffee</v>
          </cell>
          <cell r="U22" t="str">
            <v>Grocery</v>
          </cell>
          <cell r="V22" t="str">
            <v>Average</v>
          </cell>
          <cell r="W22" t="str">
            <v>Average</v>
          </cell>
          <cell r="X22" t="str">
            <v>Same-Day</v>
          </cell>
          <cell r="Y22">
            <v>2</v>
          </cell>
          <cell r="Z22">
            <v>2</v>
          </cell>
        </row>
        <row r="23">
          <cell r="A23">
            <v>8871554</v>
          </cell>
          <cell r="B23">
            <v>63914</v>
          </cell>
          <cell r="C23" t="str">
            <v>Joshua Noble</v>
          </cell>
          <cell r="D23" t="str">
            <v>Portsmouth</v>
          </cell>
          <cell r="E23" t="str">
            <v>England</v>
          </cell>
          <cell r="F23" t="str">
            <v>UK</v>
          </cell>
          <cell r="G23">
            <v>61</v>
          </cell>
          <cell r="H23">
            <v>61</v>
          </cell>
          <cell r="I23" t="str">
            <v>Male</v>
          </cell>
          <cell r="J23" t="str">
            <v>Male</v>
          </cell>
          <cell r="K23" t="str">
            <v>High</v>
          </cell>
          <cell r="L23" t="str">
            <v>Regular</v>
          </cell>
          <cell r="M23">
            <v>45144</v>
          </cell>
          <cell r="N23">
            <v>4</v>
          </cell>
          <cell r="O23">
            <v>4</v>
          </cell>
          <cell r="P23">
            <v>200.28712820000001</v>
          </cell>
          <cell r="Q23">
            <v>801.14851280000005</v>
          </cell>
          <cell r="R23" t="str">
            <v>Books</v>
          </cell>
          <cell r="S23" t="str">
            <v>Books</v>
          </cell>
          <cell r="T23" t="str">
            <v>Non-Fiction</v>
          </cell>
          <cell r="U23" t="str">
            <v>Books</v>
          </cell>
          <cell r="V23" t="str">
            <v>Average</v>
          </cell>
          <cell r="W23" t="str">
            <v>Average</v>
          </cell>
          <cell r="X23" t="str">
            <v>Standard</v>
          </cell>
          <cell r="Y23">
            <v>2</v>
          </cell>
          <cell r="Z23">
            <v>2</v>
          </cell>
        </row>
        <row r="24">
          <cell r="A24">
            <v>9476855</v>
          </cell>
          <cell r="B24">
            <v>42410</v>
          </cell>
          <cell r="C24" t="str">
            <v>Anthony Rodriguez</v>
          </cell>
          <cell r="D24" t="str">
            <v>Portsmouth</v>
          </cell>
          <cell r="E24" t="str">
            <v>England</v>
          </cell>
          <cell r="F24" t="str">
            <v>UK</v>
          </cell>
          <cell r="G24">
            <v>21</v>
          </cell>
          <cell r="H24">
            <v>21</v>
          </cell>
          <cell r="I24" t="str">
            <v>Female</v>
          </cell>
          <cell r="J24" t="str">
            <v>Female</v>
          </cell>
          <cell r="K24" t="str">
            <v>Low</v>
          </cell>
          <cell r="L24" t="str">
            <v>Regular</v>
          </cell>
          <cell r="M24">
            <v>45325</v>
          </cell>
          <cell r="N24">
            <v>6</v>
          </cell>
          <cell r="O24">
            <v>6</v>
          </cell>
          <cell r="P24">
            <v>34.124266310000003</v>
          </cell>
          <cell r="Q24">
            <v>204.74559790000001</v>
          </cell>
          <cell r="R24" t="str">
            <v>Books</v>
          </cell>
          <cell r="S24" t="str">
            <v>Books</v>
          </cell>
          <cell r="T24" t="str">
            <v>Non-Fiction</v>
          </cell>
          <cell r="U24" t="str">
            <v>Books</v>
          </cell>
          <cell r="V24" t="str">
            <v>Average</v>
          </cell>
          <cell r="W24" t="str">
            <v>Average</v>
          </cell>
          <cell r="X24" t="str">
            <v>Same-Day</v>
          </cell>
          <cell r="Y24">
            <v>2</v>
          </cell>
          <cell r="Z24">
            <v>2</v>
          </cell>
        </row>
        <row r="25">
          <cell r="A25">
            <v>9338306</v>
          </cell>
          <cell r="B25">
            <v>48869</v>
          </cell>
          <cell r="C25" t="str">
            <v>Ashley Watson</v>
          </cell>
          <cell r="D25" t="str">
            <v>Portsmouth</v>
          </cell>
          <cell r="E25" t="str">
            <v>England</v>
          </cell>
          <cell r="F25" t="str">
            <v>UK</v>
          </cell>
          <cell r="G25">
            <v>41</v>
          </cell>
          <cell r="H25">
            <v>41</v>
          </cell>
          <cell r="I25" t="str">
            <v>Female</v>
          </cell>
          <cell r="J25" t="str">
            <v>Female</v>
          </cell>
          <cell r="K25" t="str">
            <v>Low</v>
          </cell>
          <cell r="L25" t="str">
            <v>Regular</v>
          </cell>
          <cell r="M25">
            <v>45077</v>
          </cell>
          <cell r="N25">
            <v>8</v>
          </cell>
          <cell r="O25">
            <v>8</v>
          </cell>
          <cell r="P25">
            <v>436.60790909999997</v>
          </cell>
          <cell r="Q25">
            <v>3492.8632729999999</v>
          </cell>
          <cell r="R25" t="str">
            <v>Home Decor</v>
          </cell>
          <cell r="S25" t="str">
            <v>Home Decor</v>
          </cell>
          <cell r="T25" t="str">
            <v>Bathroom</v>
          </cell>
          <cell r="U25" t="str">
            <v>Home Decor</v>
          </cell>
          <cell r="V25" t="str">
            <v>Good</v>
          </cell>
          <cell r="W25" t="str">
            <v>Good</v>
          </cell>
          <cell r="X25" t="str">
            <v>Standard</v>
          </cell>
          <cell r="Y25">
            <v>3</v>
          </cell>
          <cell r="Z25">
            <v>3</v>
          </cell>
        </row>
        <row r="26">
          <cell r="A26">
            <v>9070447</v>
          </cell>
          <cell r="B26">
            <v>99870</v>
          </cell>
          <cell r="C26" t="str">
            <v>Timothy Benton</v>
          </cell>
          <cell r="D26" t="str">
            <v>Portsmouth</v>
          </cell>
          <cell r="E26" t="str">
            <v>England</v>
          </cell>
          <cell r="F26" t="str">
            <v>UK</v>
          </cell>
          <cell r="G26">
            <v>38</v>
          </cell>
          <cell r="H26">
            <v>38</v>
          </cell>
          <cell r="I26" t="str">
            <v>Male</v>
          </cell>
          <cell r="J26" t="str">
            <v>Male</v>
          </cell>
          <cell r="K26" t="str">
            <v>Medium</v>
          </cell>
          <cell r="L26" t="str">
            <v>Regular</v>
          </cell>
          <cell r="M26">
            <v>45349</v>
          </cell>
          <cell r="N26">
            <v>2</v>
          </cell>
          <cell r="O26">
            <v>2</v>
          </cell>
          <cell r="P26">
            <v>285.29832970000001</v>
          </cell>
          <cell r="Q26">
            <v>570.59665930000006</v>
          </cell>
          <cell r="R26" t="str">
            <v>Grocery</v>
          </cell>
          <cell r="S26" t="str">
            <v>Grocery</v>
          </cell>
          <cell r="T26" t="str">
            <v>Juice</v>
          </cell>
          <cell r="U26" t="str">
            <v>Grocery</v>
          </cell>
          <cell r="V26" t="str">
            <v>Bad</v>
          </cell>
          <cell r="W26" t="str">
            <v>Bad</v>
          </cell>
          <cell r="X26" t="str">
            <v>Same-Day</v>
          </cell>
          <cell r="Y26">
            <v>1</v>
          </cell>
          <cell r="Z26">
            <v>1</v>
          </cell>
        </row>
        <row r="27">
          <cell r="A27">
            <v>9082305</v>
          </cell>
          <cell r="B27">
            <v>47037</v>
          </cell>
          <cell r="C27" t="str">
            <v>Mike Christensen</v>
          </cell>
          <cell r="D27" t="str">
            <v>Portsmouth</v>
          </cell>
          <cell r="E27" t="str">
            <v>England</v>
          </cell>
          <cell r="F27" t="str">
            <v>UK</v>
          </cell>
          <cell r="G27">
            <v>59</v>
          </cell>
          <cell r="H27">
            <v>59</v>
          </cell>
          <cell r="I27" t="str">
            <v>Male</v>
          </cell>
          <cell r="J27" t="str">
            <v>Male</v>
          </cell>
          <cell r="K27" t="str">
            <v>High</v>
          </cell>
          <cell r="L27" t="str">
            <v>Regular</v>
          </cell>
          <cell r="M27">
            <v>45036</v>
          </cell>
          <cell r="N27">
            <v>6</v>
          </cell>
          <cell r="O27">
            <v>6</v>
          </cell>
          <cell r="P27">
            <v>75.209935009999995</v>
          </cell>
          <cell r="Q27">
            <v>451.25961000000001</v>
          </cell>
          <cell r="R27" t="str">
            <v>Home Decor</v>
          </cell>
          <cell r="S27" t="str">
            <v>Home Decor</v>
          </cell>
          <cell r="T27" t="str">
            <v>Kitchen</v>
          </cell>
          <cell r="U27" t="str">
            <v>Home Decor</v>
          </cell>
          <cell r="V27" t="str">
            <v>Bad</v>
          </cell>
          <cell r="W27" t="str">
            <v>Bad</v>
          </cell>
          <cell r="X27" t="str">
            <v>Standard</v>
          </cell>
          <cell r="Y27">
            <v>1</v>
          </cell>
          <cell r="Z27">
            <v>1</v>
          </cell>
        </row>
        <row r="28">
          <cell r="A28">
            <v>4725198</v>
          </cell>
          <cell r="B28">
            <v>28381</v>
          </cell>
          <cell r="C28" t="str">
            <v>Kimberly Evans</v>
          </cell>
          <cell r="D28" t="str">
            <v>Portsmouth</v>
          </cell>
          <cell r="E28" t="str">
            <v>England</v>
          </cell>
          <cell r="F28" t="str">
            <v>UK</v>
          </cell>
          <cell r="G28">
            <v>20</v>
          </cell>
          <cell r="H28">
            <v>20</v>
          </cell>
          <cell r="I28" t="str">
            <v>Male</v>
          </cell>
          <cell r="J28" t="str">
            <v>Male</v>
          </cell>
          <cell r="K28" t="str">
            <v>High</v>
          </cell>
          <cell r="L28" t="str">
            <v>Regular</v>
          </cell>
          <cell r="M28">
            <v>45080</v>
          </cell>
          <cell r="N28">
            <v>1</v>
          </cell>
          <cell r="O28">
            <v>1</v>
          </cell>
          <cell r="P28">
            <v>173.57073790000001</v>
          </cell>
          <cell r="Q28">
            <v>173.57073790000001</v>
          </cell>
          <cell r="R28" t="str">
            <v>Electronics</v>
          </cell>
          <cell r="S28" t="str">
            <v>Electronics</v>
          </cell>
          <cell r="T28" t="str">
            <v>Smartphone</v>
          </cell>
          <cell r="U28" t="str">
            <v>Electronics</v>
          </cell>
          <cell r="V28" t="str">
            <v>Good</v>
          </cell>
          <cell r="W28" t="str">
            <v>Good</v>
          </cell>
          <cell r="X28" t="str">
            <v>Express</v>
          </cell>
          <cell r="Y28">
            <v>3</v>
          </cell>
          <cell r="Z28">
            <v>3</v>
          </cell>
        </row>
        <row r="29">
          <cell r="A29">
            <v>5230876</v>
          </cell>
          <cell r="B29">
            <v>23097</v>
          </cell>
          <cell r="C29" t="str">
            <v>Michael Cole</v>
          </cell>
          <cell r="D29" t="str">
            <v>Portsmouth</v>
          </cell>
          <cell r="E29" t="str">
            <v>England</v>
          </cell>
          <cell r="F29" t="str">
            <v>UK</v>
          </cell>
          <cell r="G29">
            <v>67</v>
          </cell>
          <cell r="H29">
            <v>67</v>
          </cell>
          <cell r="I29" t="str">
            <v>Male</v>
          </cell>
          <cell r="J29" t="str">
            <v>Male</v>
          </cell>
          <cell r="K29" t="str">
            <v>Low</v>
          </cell>
          <cell r="L29" t="str">
            <v>Regular</v>
          </cell>
          <cell r="M29">
            <v>45298</v>
          </cell>
          <cell r="N29">
            <v>5</v>
          </cell>
          <cell r="O29">
            <v>5</v>
          </cell>
          <cell r="P29">
            <v>471.48213199999998</v>
          </cell>
          <cell r="Q29">
            <v>2357.41066</v>
          </cell>
          <cell r="R29" t="str">
            <v>Electronics</v>
          </cell>
          <cell r="S29" t="str">
            <v>Electronics</v>
          </cell>
          <cell r="T29" t="str">
            <v>Tablet</v>
          </cell>
          <cell r="U29" t="str">
            <v>Electronics</v>
          </cell>
          <cell r="V29" t="str">
            <v>Bad</v>
          </cell>
          <cell r="W29" t="str">
            <v>Bad</v>
          </cell>
          <cell r="X29" t="str">
            <v>Same-Day</v>
          </cell>
          <cell r="Y29">
            <v>1</v>
          </cell>
          <cell r="Z29">
            <v>1</v>
          </cell>
        </row>
        <row r="30">
          <cell r="A30">
            <v>2459574</v>
          </cell>
          <cell r="B30">
            <v>42540</v>
          </cell>
          <cell r="C30" t="str">
            <v>Robin Jackson</v>
          </cell>
          <cell r="D30" t="str">
            <v>Portsmouth</v>
          </cell>
          <cell r="E30" t="str">
            <v>England</v>
          </cell>
          <cell r="F30" t="str">
            <v>UK</v>
          </cell>
          <cell r="G30">
            <v>43</v>
          </cell>
          <cell r="H30">
            <v>43</v>
          </cell>
          <cell r="I30" t="str">
            <v>Male</v>
          </cell>
          <cell r="J30" t="str">
            <v>Male</v>
          </cell>
          <cell r="K30" t="str">
            <v>Medium</v>
          </cell>
          <cell r="L30" t="str">
            <v>Regular</v>
          </cell>
          <cell r="M30">
            <v>45038</v>
          </cell>
          <cell r="N30">
            <v>8</v>
          </cell>
          <cell r="O30">
            <v>8</v>
          </cell>
          <cell r="P30">
            <v>333.85966389999999</v>
          </cell>
          <cell r="Q30">
            <v>2670.8773110000002</v>
          </cell>
          <cell r="R30" t="str">
            <v>Home Decor</v>
          </cell>
          <cell r="S30" t="str">
            <v>Home Decor</v>
          </cell>
          <cell r="T30" t="str">
            <v>Decorations</v>
          </cell>
          <cell r="U30" t="str">
            <v>Home Decor</v>
          </cell>
          <cell r="V30" t="str">
            <v>Excellent</v>
          </cell>
          <cell r="W30" t="str">
            <v>Excellent</v>
          </cell>
          <cell r="X30" t="str">
            <v>Standard</v>
          </cell>
          <cell r="Y30">
            <v>5</v>
          </cell>
          <cell r="Z30">
            <v>5</v>
          </cell>
        </row>
        <row r="31">
          <cell r="A31">
            <v>2873384</v>
          </cell>
          <cell r="B31">
            <v>55388</v>
          </cell>
          <cell r="C31" t="str">
            <v>Yolanda Martin</v>
          </cell>
          <cell r="D31" t="str">
            <v>Portsmouth</v>
          </cell>
          <cell r="E31" t="str">
            <v>England</v>
          </cell>
          <cell r="F31" t="str">
            <v>UK</v>
          </cell>
          <cell r="G31">
            <v>50</v>
          </cell>
          <cell r="H31">
            <v>50</v>
          </cell>
          <cell r="I31" t="str">
            <v>Male</v>
          </cell>
          <cell r="J31" t="str">
            <v>Male</v>
          </cell>
          <cell r="K31" t="str">
            <v>Medium</v>
          </cell>
          <cell r="L31" t="str">
            <v>Regular</v>
          </cell>
          <cell r="M31">
            <v>45098</v>
          </cell>
          <cell r="N31">
            <v>6</v>
          </cell>
          <cell r="O31">
            <v>6</v>
          </cell>
          <cell r="P31">
            <v>240.22818860000001</v>
          </cell>
          <cell r="Q31">
            <v>1441.369132</v>
          </cell>
          <cell r="R31" t="str">
            <v>Grocery</v>
          </cell>
          <cell r="S31" t="str">
            <v>Grocery</v>
          </cell>
          <cell r="T31" t="str">
            <v>Juice</v>
          </cell>
          <cell r="U31" t="str">
            <v>Grocery</v>
          </cell>
          <cell r="V31" t="str">
            <v>Good</v>
          </cell>
          <cell r="W31" t="str">
            <v>Good</v>
          </cell>
          <cell r="X31" t="str">
            <v>Standard</v>
          </cell>
          <cell r="Y31">
            <v>3</v>
          </cell>
          <cell r="Z31">
            <v>3</v>
          </cell>
        </row>
        <row r="32">
          <cell r="A32">
            <v>3413296</v>
          </cell>
          <cell r="B32">
            <v>98256</v>
          </cell>
          <cell r="C32" t="str">
            <v>Steven Boyd</v>
          </cell>
          <cell r="D32" t="str">
            <v>Portsmouth</v>
          </cell>
          <cell r="E32" t="str">
            <v>England</v>
          </cell>
          <cell r="F32" t="str">
            <v>UK</v>
          </cell>
          <cell r="G32">
            <v>26</v>
          </cell>
          <cell r="H32">
            <v>26</v>
          </cell>
          <cell r="I32" t="str">
            <v>Female</v>
          </cell>
          <cell r="J32" t="str">
            <v>Female</v>
          </cell>
          <cell r="K32" t="str">
            <v>Low</v>
          </cell>
          <cell r="L32" t="str">
            <v>Regular</v>
          </cell>
          <cell r="M32">
            <v>45328</v>
          </cell>
          <cell r="N32">
            <v>3</v>
          </cell>
          <cell r="O32">
            <v>3</v>
          </cell>
          <cell r="P32">
            <v>159.80419330000001</v>
          </cell>
          <cell r="Q32">
            <v>479.41257990000003</v>
          </cell>
          <cell r="R32" t="str">
            <v>Clothing</v>
          </cell>
          <cell r="S32" t="str">
            <v>Clothing</v>
          </cell>
          <cell r="T32" t="str">
            <v>Shoes</v>
          </cell>
          <cell r="U32" t="str">
            <v>Clothing</v>
          </cell>
          <cell r="V32" t="str">
            <v>Good</v>
          </cell>
          <cell r="W32" t="str">
            <v>Good</v>
          </cell>
          <cell r="X32" t="str">
            <v>Same-Day</v>
          </cell>
          <cell r="Y32">
            <v>3</v>
          </cell>
          <cell r="Z32">
            <v>3</v>
          </cell>
        </row>
        <row r="33">
          <cell r="A33">
            <v>6408692</v>
          </cell>
          <cell r="B33">
            <v>90935</v>
          </cell>
          <cell r="C33" t="str">
            <v>Raymond Avila</v>
          </cell>
          <cell r="D33" t="str">
            <v>Portsmouth</v>
          </cell>
          <cell r="E33" t="str">
            <v>England</v>
          </cell>
          <cell r="F33" t="str">
            <v>UK</v>
          </cell>
          <cell r="G33">
            <v>56</v>
          </cell>
          <cell r="H33">
            <v>56</v>
          </cell>
          <cell r="I33" t="str">
            <v>Female</v>
          </cell>
          <cell r="J33" t="str">
            <v>Female</v>
          </cell>
          <cell r="K33" t="str">
            <v>Low</v>
          </cell>
          <cell r="L33" t="str">
            <v>Regular</v>
          </cell>
          <cell r="M33">
            <v>45256</v>
          </cell>
          <cell r="N33">
            <v>2</v>
          </cell>
          <cell r="O33">
            <v>2</v>
          </cell>
          <cell r="P33">
            <v>147.09823410000001</v>
          </cell>
          <cell r="Q33">
            <v>294.19646829999999</v>
          </cell>
          <cell r="R33" t="str">
            <v>Books</v>
          </cell>
          <cell r="S33" t="str">
            <v>Books</v>
          </cell>
          <cell r="T33" t="str">
            <v>Thriller</v>
          </cell>
          <cell r="U33" t="str">
            <v>Books</v>
          </cell>
          <cell r="V33" t="str">
            <v>Good</v>
          </cell>
          <cell r="W33" t="str">
            <v>Good</v>
          </cell>
          <cell r="X33" t="str">
            <v>Standard</v>
          </cell>
          <cell r="Y33">
            <v>3</v>
          </cell>
          <cell r="Z33">
            <v>3</v>
          </cell>
        </row>
        <row r="34">
          <cell r="A34">
            <v>8973612</v>
          </cell>
          <cell r="B34">
            <v>65701</v>
          </cell>
          <cell r="C34" t="str">
            <v>Christopher Lopez</v>
          </cell>
          <cell r="D34" t="str">
            <v>Portsmouth</v>
          </cell>
          <cell r="E34" t="str">
            <v>England</v>
          </cell>
          <cell r="F34" t="str">
            <v>UK</v>
          </cell>
          <cell r="G34">
            <v>66</v>
          </cell>
          <cell r="H34">
            <v>66</v>
          </cell>
          <cell r="I34" t="str">
            <v>Male</v>
          </cell>
          <cell r="J34" t="str">
            <v>Male</v>
          </cell>
          <cell r="K34" t="str">
            <v>Medium</v>
          </cell>
          <cell r="L34" t="str">
            <v>Regular</v>
          </cell>
          <cell r="M34">
            <v>45068</v>
          </cell>
          <cell r="N34">
            <v>7</v>
          </cell>
          <cell r="O34">
            <v>7</v>
          </cell>
          <cell r="P34">
            <v>344.67918509999998</v>
          </cell>
          <cell r="Q34">
            <v>2412.7542960000001</v>
          </cell>
          <cell r="R34" t="str">
            <v>Home Decor</v>
          </cell>
          <cell r="S34" t="str">
            <v>Home Decor</v>
          </cell>
          <cell r="T34" t="str">
            <v>Decorations</v>
          </cell>
          <cell r="U34" t="str">
            <v>Home Decor</v>
          </cell>
          <cell r="V34" t="str">
            <v>Excellent</v>
          </cell>
          <cell r="W34" t="str">
            <v>Excellent</v>
          </cell>
          <cell r="X34" t="str">
            <v>Same-Day</v>
          </cell>
          <cell r="Y34">
            <v>5</v>
          </cell>
          <cell r="Z34">
            <v>5</v>
          </cell>
        </row>
        <row r="35">
          <cell r="A35">
            <v>5404187</v>
          </cell>
          <cell r="B35">
            <v>23713</v>
          </cell>
          <cell r="C35" t="str">
            <v>Brent Gonzalez</v>
          </cell>
          <cell r="D35" t="str">
            <v>Portsmouth</v>
          </cell>
          <cell r="E35" t="str">
            <v>England</v>
          </cell>
          <cell r="F35" t="str">
            <v>UK</v>
          </cell>
          <cell r="G35">
            <v>31</v>
          </cell>
          <cell r="H35">
            <v>31</v>
          </cell>
          <cell r="I35" t="str">
            <v>Male</v>
          </cell>
          <cell r="J35" t="str">
            <v>Male</v>
          </cell>
          <cell r="K35" t="str">
            <v>Low</v>
          </cell>
          <cell r="L35" t="str">
            <v>Regular</v>
          </cell>
          <cell r="M35">
            <v>45106</v>
          </cell>
          <cell r="N35">
            <v>4</v>
          </cell>
          <cell r="O35">
            <v>4</v>
          </cell>
          <cell r="P35">
            <v>243.64027630000001</v>
          </cell>
          <cell r="Q35">
            <v>974.56110520000004</v>
          </cell>
          <cell r="R35" t="str">
            <v>Electronics</v>
          </cell>
          <cell r="S35" t="str">
            <v>Electronics</v>
          </cell>
          <cell r="T35" t="str">
            <v>Smartphone</v>
          </cell>
          <cell r="U35" t="str">
            <v>Electronics</v>
          </cell>
          <cell r="V35" t="str">
            <v>Average</v>
          </cell>
          <cell r="W35" t="str">
            <v>Average</v>
          </cell>
          <cell r="X35" t="str">
            <v>Express</v>
          </cell>
          <cell r="Y35">
            <v>2</v>
          </cell>
          <cell r="Z35">
            <v>2</v>
          </cell>
        </row>
        <row r="36">
          <cell r="A36">
            <v>4208526</v>
          </cell>
          <cell r="B36">
            <v>66911</v>
          </cell>
          <cell r="C36" t="str">
            <v>Anne Dominguez</v>
          </cell>
          <cell r="D36" t="str">
            <v>Portsmouth</v>
          </cell>
          <cell r="E36" t="str">
            <v>England</v>
          </cell>
          <cell r="F36" t="str">
            <v>UK</v>
          </cell>
          <cell r="G36">
            <v>24</v>
          </cell>
          <cell r="H36">
            <v>24</v>
          </cell>
          <cell r="I36" t="str">
            <v>Female</v>
          </cell>
          <cell r="J36" t="str">
            <v>Female</v>
          </cell>
          <cell r="K36" t="str">
            <v>Low</v>
          </cell>
          <cell r="L36" t="str">
            <v>Regular</v>
          </cell>
          <cell r="M36">
            <v>45276</v>
          </cell>
          <cell r="N36">
            <v>2</v>
          </cell>
          <cell r="O36">
            <v>2</v>
          </cell>
          <cell r="P36">
            <v>333.70443310000002</v>
          </cell>
          <cell r="Q36">
            <v>667.4088663</v>
          </cell>
          <cell r="R36" t="str">
            <v>Grocery</v>
          </cell>
          <cell r="S36" t="str">
            <v>Grocery</v>
          </cell>
          <cell r="T36" t="str">
            <v>Chocolate</v>
          </cell>
          <cell r="U36" t="str">
            <v>Grocery</v>
          </cell>
          <cell r="V36" t="str">
            <v>Excellent</v>
          </cell>
          <cell r="W36" t="str">
            <v>Excellent</v>
          </cell>
          <cell r="X36" t="str">
            <v>Same-Day</v>
          </cell>
          <cell r="Y36">
            <v>4</v>
          </cell>
          <cell r="Z36">
            <v>4</v>
          </cell>
        </row>
        <row r="37">
          <cell r="A37">
            <v>1505270</v>
          </cell>
          <cell r="B37">
            <v>38517</v>
          </cell>
          <cell r="C37" t="str">
            <v>Todd Jackson</v>
          </cell>
          <cell r="D37" t="str">
            <v>Portsmouth</v>
          </cell>
          <cell r="E37" t="str">
            <v>England</v>
          </cell>
          <cell r="F37" t="str">
            <v>UK</v>
          </cell>
          <cell r="G37">
            <v>54</v>
          </cell>
          <cell r="H37">
            <v>54</v>
          </cell>
          <cell r="I37" t="str">
            <v>Male</v>
          </cell>
          <cell r="J37" t="str">
            <v>Male</v>
          </cell>
          <cell r="K37" t="str">
            <v>Low</v>
          </cell>
          <cell r="L37" t="str">
            <v>Regular</v>
          </cell>
          <cell r="M37">
            <v>45026</v>
          </cell>
          <cell r="N37">
            <v>3</v>
          </cell>
          <cell r="O37">
            <v>3</v>
          </cell>
          <cell r="P37">
            <v>322.1477142</v>
          </cell>
          <cell r="Q37">
            <v>966.44314269999995</v>
          </cell>
          <cell r="R37" t="str">
            <v>Home Decor</v>
          </cell>
          <cell r="S37" t="str">
            <v>Home Decor</v>
          </cell>
          <cell r="T37" t="str">
            <v>Decorations</v>
          </cell>
          <cell r="U37" t="str">
            <v>Home Decor</v>
          </cell>
          <cell r="V37" t="str">
            <v>Good</v>
          </cell>
          <cell r="W37" t="str">
            <v>Good</v>
          </cell>
          <cell r="X37" t="str">
            <v>Same-Day</v>
          </cell>
          <cell r="Y37">
            <v>4</v>
          </cell>
          <cell r="Z37">
            <v>4</v>
          </cell>
        </row>
        <row r="38">
          <cell r="A38">
            <v>8783109</v>
          </cell>
          <cell r="B38">
            <v>65305</v>
          </cell>
          <cell r="C38" t="str">
            <v>Jonathan Jenkins</v>
          </cell>
          <cell r="D38" t="str">
            <v>Portsmouth</v>
          </cell>
          <cell r="E38" t="str">
            <v>England</v>
          </cell>
          <cell r="F38" t="str">
            <v>UK</v>
          </cell>
          <cell r="G38">
            <v>19</v>
          </cell>
          <cell r="H38">
            <v>19</v>
          </cell>
          <cell r="I38" t="str">
            <v>Male</v>
          </cell>
          <cell r="J38" t="str">
            <v>Male</v>
          </cell>
          <cell r="K38" t="str">
            <v>High</v>
          </cell>
          <cell r="L38" t="str">
            <v>Regular</v>
          </cell>
          <cell r="M38">
            <v>45272</v>
          </cell>
          <cell r="N38">
            <v>5</v>
          </cell>
          <cell r="O38">
            <v>5</v>
          </cell>
          <cell r="P38">
            <v>195.55140299999999</v>
          </cell>
          <cell r="Q38">
            <v>977.75701479999998</v>
          </cell>
          <cell r="R38" t="str">
            <v>Clothing</v>
          </cell>
          <cell r="S38" t="str">
            <v>Clothing</v>
          </cell>
          <cell r="T38" t="str">
            <v>Shirt</v>
          </cell>
          <cell r="U38" t="str">
            <v>Clothing</v>
          </cell>
          <cell r="V38" t="str">
            <v>Good</v>
          </cell>
          <cell r="W38" t="str">
            <v>Good</v>
          </cell>
          <cell r="X38" t="str">
            <v>Express</v>
          </cell>
          <cell r="Y38">
            <v>4</v>
          </cell>
          <cell r="Z38">
            <v>4</v>
          </cell>
        </row>
        <row r="39">
          <cell r="A39">
            <v>4579663</v>
          </cell>
          <cell r="B39">
            <v>31767</v>
          </cell>
          <cell r="C39" t="str">
            <v>Brittany Ross</v>
          </cell>
          <cell r="D39" t="str">
            <v>Portsmouth</v>
          </cell>
          <cell r="E39" t="str">
            <v>England</v>
          </cell>
          <cell r="F39" t="str">
            <v>UK</v>
          </cell>
          <cell r="G39">
            <v>28</v>
          </cell>
          <cell r="H39">
            <v>28</v>
          </cell>
          <cell r="I39" t="str">
            <v>Male</v>
          </cell>
          <cell r="J39" t="str">
            <v>Male</v>
          </cell>
          <cell r="K39" t="str">
            <v>High</v>
          </cell>
          <cell r="L39" t="str">
            <v>Regular</v>
          </cell>
          <cell r="M39">
            <v>45338</v>
          </cell>
          <cell r="N39">
            <v>9</v>
          </cell>
          <cell r="O39">
            <v>9</v>
          </cell>
          <cell r="P39">
            <v>161.3873342</v>
          </cell>
          <cell r="Q39">
            <v>1452.4860080000001</v>
          </cell>
          <cell r="R39" t="str">
            <v>Books</v>
          </cell>
          <cell r="S39" t="str">
            <v>Books</v>
          </cell>
          <cell r="T39" t="str">
            <v>Children's</v>
          </cell>
          <cell r="U39" t="str">
            <v>Books</v>
          </cell>
          <cell r="V39" t="str">
            <v>Excellent</v>
          </cell>
          <cell r="W39" t="str">
            <v>Excellent</v>
          </cell>
          <cell r="X39" t="str">
            <v>Standard</v>
          </cell>
          <cell r="Y39">
            <v>4</v>
          </cell>
          <cell r="Z39">
            <v>4</v>
          </cell>
        </row>
        <row r="40">
          <cell r="A40">
            <v>5992046</v>
          </cell>
          <cell r="B40">
            <v>30637</v>
          </cell>
          <cell r="C40" t="str">
            <v>Mike Orozco</v>
          </cell>
          <cell r="D40" t="str">
            <v>Portsmouth</v>
          </cell>
          <cell r="E40" t="str">
            <v>England</v>
          </cell>
          <cell r="F40" t="str">
            <v>UK</v>
          </cell>
          <cell r="G40">
            <v>34</v>
          </cell>
          <cell r="H40">
            <v>34</v>
          </cell>
          <cell r="I40" t="str">
            <v>Female</v>
          </cell>
          <cell r="J40" t="str">
            <v>Female</v>
          </cell>
          <cell r="K40" t="str">
            <v>High</v>
          </cell>
          <cell r="L40" t="str">
            <v>Regular</v>
          </cell>
          <cell r="M40">
            <v>45330</v>
          </cell>
          <cell r="N40">
            <v>7</v>
          </cell>
          <cell r="O40">
            <v>7</v>
          </cell>
          <cell r="P40">
            <v>44.33018431</v>
          </cell>
          <cell r="Q40">
            <v>310.31129019999997</v>
          </cell>
          <cell r="R40" t="str">
            <v>Grocery</v>
          </cell>
          <cell r="S40" t="str">
            <v>Grocery</v>
          </cell>
          <cell r="T40" t="str">
            <v>Soft Drink</v>
          </cell>
          <cell r="U40" t="str">
            <v>Grocery</v>
          </cell>
          <cell r="V40" t="str">
            <v>Good</v>
          </cell>
          <cell r="W40" t="str">
            <v>Good</v>
          </cell>
          <cell r="X40" t="str">
            <v>Express</v>
          </cell>
          <cell r="Y40">
            <v>4</v>
          </cell>
          <cell r="Z40">
            <v>4</v>
          </cell>
        </row>
        <row r="41">
          <cell r="A41">
            <v>2458233</v>
          </cell>
          <cell r="B41">
            <v>96840</v>
          </cell>
          <cell r="C41" t="str">
            <v>Susan Thomas</v>
          </cell>
          <cell r="D41" t="str">
            <v>Portsmouth</v>
          </cell>
          <cell r="E41" t="str">
            <v>England</v>
          </cell>
          <cell r="F41" t="str">
            <v>UK</v>
          </cell>
          <cell r="G41">
            <v>65</v>
          </cell>
          <cell r="H41">
            <v>65</v>
          </cell>
          <cell r="I41" t="str">
            <v>Male</v>
          </cell>
          <cell r="J41" t="str">
            <v>Male</v>
          </cell>
          <cell r="K41" t="str">
            <v>Low</v>
          </cell>
          <cell r="L41" t="str">
            <v>Regular</v>
          </cell>
          <cell r="M41">
            <v>45228</v>
          </cell>
          <cell r="N41">
            <v>8</v>
          </cell>
          <cell r="O41">
            <v>8</v>
          </cell>
          <cell r="P41">
            <v>28.82551058</v>
          </cell>
          <cell r="Q41">
            <v>230.60408469999999</v>
          </cell>
          <cell r="R41" t="str">
            <v>Clothing</v>
          </cell>
          <cell r="S41" t="str">
            <v>Clothing</v>
          </cell>
          <cell r="T41" t="str">
            <v>Shoes</v>
          </cell>
          <cell r="U41" t="str">
            <v>Clothing</v>
          </cell>
          <cell r="V41" t="str">
            <v>Excellent</v>
          </cell>
          <cell r="W41" t="str">
            <v>Excellent</v>
          </cell>
          <cell r="X41" t="str">
            <v>Same-Day</v>
          </cell>
          <cell r="Y41">
            <v>4</v>
          </cell>
          <cell r="Z41">
            <v>4</v>
          </cell>
        </row>
        <row r="42">
          <cell r="A42">
            <v>2055036</v>
          </cell>
          <cell r="B42">
            <v>25848</v>
          </cell>
          <cell r="C42" t="str">
            <v>Emma Palmer</v>
          </cell>
          <cell r="D42" t="str">
            <v>Portsmouth</v>
          </cell>
          <cell r="E42" t="str">
            <v>England</v>
          </cell>
          <cell r="F42" t="str">
            <v>UK</v>
          </cell>
          <cell r="G42">
            <v>40</v>
          </cell>
          <cell r="H42">
            <v>40</v>
          </cell>
          <cell r="I42" t="str">
            <v>Male</v>
          </cell>
          <cell r="J42" t="str">
            <v>Male</v>
          </cell>
          <cell r="K42" t="str">
            <v>High</v>
          </cell>
          <cell r="L42" t="str">
            <v>Regular</v>
          </cell>
          <cell r="M42">
            <v>45343</v>
          </cell>
          <cell r="N42">
            <v>10</v>
          </cell>
          <cell r="O42">
            <v>10</v>
          </cell>
          <cell r="P42">
            <v>20.528536769999999</v>
          </cell>
          <cell r="Q42">
            <v>205.28536769999999</v>
          </cell>
          <cell r="R42" t="str">
            <v>Grocery</v>
          </cell>
          <cell r="S42" t="str">
            <v>Grocery</v>
          </cell>
          <cell r="T42" t="str">
            <v>Juice</v>
          </cell>
          <cell r="U42" t="str">
            <v>Grocery</v>
          </cell>
          <cell r="V42" t="str">
            <v>Excellent</v>
          </cell>
          <cell r="W42" t="str">
            <v>Excellent</v>
          </cell>
          <cell r="X42" t="str">
            <v>Same-Day</v>
          </cell>
          <cell r="Y42">
            <v>4</v>
          </cell>
          <cell r="Z42">
            <v>4</v>
          </cell>
        </row>
        <row r="43">
          <cell r="A43">
            <v>4923734</v>
          </cell>
          <cell r="B43">
            <v>91172</v>
          </cell>
          <cell r="C43" t="str">
            <v>Amanda Decker</v>
          </cell>
          <cell r="D43" t="str">
            <v>Portsmouth</v>
          </cell>
          <cell r="E43" t="str">
            <v>England</v>
          </cell>
          <cell r="F43" t="str">
            <v>UK</v>
          </cell>
          <cell r="G43">
            <v>64</v>
          </cell>
          <cell r="H43">
            <v>64</v>
          </cell>
          <cell r="I43" t="str">
            <v>Female</v>
          </cell>
          <cell r="J43" t="str">
            <v>Female</v>
          </cell>
          <cell r="K43" t="str">
            <v>High</v>
          </cell>
          <cell r="L43" t="str">
            <v>Regular</v>
          </cell>
          <cell r="M43">
            <v>45002</v>
          </cell>
          <cell r="N43">
            <v>3</v>
          </cell>
          <cell r="O43">
            <v>3</v>
          </cell>
          <cell r="P43">
            <v>227.4255488</v>
          </cell>
          <cell r="Q43">
            <v>682.27664649999997</v>
          </cell>
          <cell r="R43" t="str">
            <v>Books</v>
          </cell>
          <cell r="S43" t="str">
            <v>Books</v>
          </cell>
          <cell r="T43" t="str">
            <v>Literature</v>
          </cell>
          <cell r="U43" t="str">
            <v>Books</v>
          </cell>
          <cell r="V43" t="str">
            <v>Good</v>
          </cell>
          <cell r="W43" t="str">
            <v>Good</v>
          </cell>
          <cell r="X43" t="str">
            <v>Same-Day</v>
          </cell>
          <cell r="Y43">
            <v>4</v>
          </cell>
          <cell r="Z43">
            <v>4</v>
          </cell>
        </row>
        <row r="44">
          <cell r="A44">
            <v>3902930</v>
          </cell>
          <cell r="B44">
            <v>77572</v>
          </cell>
          <cell r="C44" t="str">
            <v>Jose Spencer</v>
          </cell>
          <cell r="D44" t="str">
            <v>Portsmouth</v>
          </cell>
          <cell r="E44" t="str">
            <v>England</v>
          </cell>
          <cell r="F44" t="str">
            <v>UK</v>
          </cell>
          <cell r="G44">
            <v>68</v>
          </cell>
          <cell r="H44">
            <v>68</v>
          </cell>
          <cell r="I44" t="str">
            <v>Female</v>
          </cell>
          <cell r="J44" t="str">
            <v>Female</v>
          </cell>
          <cell r="K44" t="str">
            <v>High</v>
          </cell>
          <cell r="L44" t="str">
            <v>Regular</v>
          </cell>
          <cell r="M44">
            <v>45205</v>
          </cell>
          <cell r="N44">
            <v>6</v>
          </cell>
          <cell r="O44">
            <v>6</v>
          </cell>
          <cell r="P44">
            <v>334.16569829999997</v>
          </cell>
          <cell r="Q44">
            <v>2004.9941899999999</v>
          </cell>
          <cell r="R44" t="str">
            <v>Electronics</v>
          </cell>
          <cell r="S44" t="str">
            <v>Electronics</v>
          </cell>
          <cell r="T44" t="str">
            <v>Laptop</v>
          </cell>
          <cell r="U44" t="str">
            <v>Electronics</v>
          </cell>
          <cell r="V44" t="str">
            <v>Bad</v>
          </cell>
          <cell r="W44" t="str">
            <v>Bad</v>
          </cell>
          <cell r="X44" t="str">
            <v>Same-Day</v>
          </cell>
          <cell r="Y44">
            <v>1</v>
          </cell>
          <cell r="Z44">
            <v>1</v>
          </cell>
        </row>
        <row r="45">
          <cell r="A45">
            <v>9885863</v>
          </cell>
          <cell r="B45">
            <v>46361</v>
          </cell>
          <cell r="C45" t="str">
            <v>Priscilla Wiggins</v>
          </cell>
          <cell r="D45" t="str">
            <v>Portsmouth</v>
          </cell>
          <cell r="E45" t="str">
            <v>England</v>
          </cell>
          <cell r="F45" t="str">
            <v>UK</v>
          </cell>
          <cell r="G45">
            <v>46</v>
          </cell>
          <cell r="H45">
            <v>46</v>
          </cell>
          <cell r="I45" t="str">
            <v>Male</v>
          </cell>
          <cell r="J45" t="str">
            <v>Male</v>
          </cell>
          <cell r="K45" t="str">
            <v>High</v>
          </cell>
          <cell r="L45" t="str">
            <v>Regular</v>
          </cell>
          <cell r="M45">
            <v>45235</v>
          </cell>
          <cell r="N45">
            <v>2</v>
          </cell>
          <cell r="O45">
            <v>2</v>
          </cell>
          <cell r="P45">
            <v>141.21436550000001</v>
          </cell>
          <cell r="Q45">
            <v>282.42873090000001</v>
          </cell>
          <cell r="R45" t="str">
            <v>Home Decor</v>
          </cell>
          <cell r="S45" t="str">
            <v>Home Decor</v>
          </cell>
          <cell r="T45" t="str">
            <v>Furniture</v>
          </cell>
          <cell r="U45" t="str">
            <v>Home Decor</v>
          </cell>
          <cell r="V45" t="str">
            <v>Excellent</v>
          </cell>
          <cell r="W45" t="str">
            <v>Excellent</v>
          </cell>
          <cell r="X45" t="str">
            <v>Same-Day</v>
          </cell>
          <cell r="Y45">
            <v>5</v>
          </cell>
          <cell r="Z45">
            <v>5</v>
          </cell>
        </row>
        <row r="46">
          <cell r="A46">
            <v>3239367</v>
          </cell>
          <cell r="B46">
            <v>62464</v>
          </cell>
          <cell r="C46" t="str">
            <v>Michele Johnson</v>
          </cell>
          <cell r="D46" t="str">
            <v>Portsmouth</v>
          </cell>
          <cell r="E46" t="str">
            <v>England</v>
          </cell>
          <cell r="F46" t="str">
            <v>UK</v>
          </cell>
          <cell r="G46">
            <v>58</v>
          </cell>
          <cell r="H46">
            <v>58</v>
          </cell>
          <cell r="I46" t="str">
            <v>Female</v>
          </cell>
          <cell r="J46" t="str">
            <v>Female</v>
          </cell>
          <cell r="K46" t="str">
            <v>High</v>
          </cell>
          <cell r="L46" t="str">
            <v>Regular</v>
          </cell>
          <cell r="M46">
            <v>45274</v>
          </cell>
          <cell r="N46">
            <v>3</v>
          </cell>
          <cell r="O46">
            <v>3</v>
          </cell>
          <cell r="P46">
            <v>312.97657270000002</v>
          </cell>
          <cell r="Q46">
            <v>938.92971799999998</v>
          </cell>
          <cell r="R46" t="str">
            <v>Clothing</v>
          </cell>
          <cell r="S46" t="str">
            <v>Clothing</v>
          </cell>
          <cell r="T46" t="str">
            <v>Dress</v>
          </cell>
          <cell r="U46" t="str">
            <v>Clothing</v>
          </cell>
          <cell r="V46" t="str">
            <v>Average</v>
          </cell>
          <cell r="W46" t="str">
            <v>Average</v>
          </cell>
          <cell r="X46" t="str">
            <v>Standard</v>
          </cell>
          <cell r="Y46">
            <v>2</v>
          </cell>
          <cell r="Z46">
            <v>2</v>
          </cell>
        </row>
        <row r="47">
          <cell r="A47">
            <v>6047927</v>
          </cell>
          <cell r="B47">
            <v>74096</v>
          </cell>
          <cell r="C47" t="str">
            <v>Robert Warren</v>
          </cell>
          <cell r="D47" t="str">
            <v>Portsmouth</v>
          </cell>
          <cell r="E47" t="str">
            <v>England</v>
          </cell>
          <cell r="F47" t="str">
            <v>UK</v>
          </cell>
          <cell r="G47">
            <v>36</v>
          </cell>
          <cell r="H47">
            <v>36</v>
          </cell>
          <cell r="I47" t="str">
            <v>Male</v>
          </cell>
          <cell r="J47" t="str">
            <v>Male</v>
          </cell>
          <cell r="K47" t="str">
            <v>Low</v>
          </cell>
          <cell r="L47" t="str">
            <v>Regular</v>
          </cell>
          <cell r="M47">
            <v>45096</v>
          </cell>
          <cell r="N47">
            <v>1</v>
          </cell>
          <cell r="O47">
            <v>1</v>
          </cell>
          <cell r="P47">
            <v>399.78712239999999</v>
          </cell>
          <cell r="Q47">
            <v>399.78712239999999</v>
          </cell>
          <cell r="R47" t="str">
            <v>Electronics</v>
          </cell>
          <cell r="S47" t="str">
            <v>Electronics</v>
          </cell>
          <cell r="T47" t="str">
            <v>Headphones</v>
          </cell>
          <cell r="U47" t="str">
            <v>Electronics</v>
          </cell>
          <cell r="V47" t="str">
            <v>Good</v>
          </cell>
          <cell r="W47" t="str">
            <v>Good</v>
          </cell>
          <cell r="X47" t="str">
            <v>Express</v>
          </cell>
          <cell r="Y47">
            <v>4</v>
          </cell>
          <cell r="Z47">
            <v>4</v>
          </cell>
        </row>
        <row r="48">
          <cell r="A48">
            <v>1089259</v>
          </cell>
          <cell r="B48">
            <v>21399</v>
          </cell>
          <cell r="C48" t="str">
            <v>Mario Smith</v>
          </cell>
          <cell r="D48" t="str">
            <v>Portsmouth</v>
          </cell>
          <cell r="E48" t="str">
            <v>England</v>
          </cell>
          <cell r="F48" t="str">
            <v>UK</v>
          </cell>
          <cell r="G48">
            <v>57</v>
          </cell>
          <cell r="H48">
            <v>57</v>
          </cell>
          <cell r="I48" t="str">
            <v>Male</v>
          </cell>
          <cell r="J48" t="str">
            <v>Male</v>
          </cell>
          <cell r="K48" t="str">
            <v>High</v>
          </cell>
          <cell r="L48" t="str">
            <v>Regular</v>
          </cell>
          <cell r="M48">
            <v>45001</v>
          </cell>
          <cell r="N48">
            <v>7</v>
          </cell>
          <cell r="O48">
            <v>7</v>
          </cell>
          <cell r="P48">
            <v>315.62886709999998</v>
          </cell>
          <cell r="Q48">
            <v>2209.4020700000001</v>
          </cell>
          <cell r="R48" t="str">
            <v>Home Decor</v>
          </cell>
          <cell r="S48" t="str">
            <v>Home Decor</v>
          </cell>
          <cell r="T48" t="str">
            <v>Lighting</v>
          </cell>
          <cell r="U48" t="str">
            <v>Home Decor</v>
          </cell>
          <cell r="V48" t="str">
            <v>Excellent</v>
          </cell>
          <cell r="W48" t="str">
            <v>Excellent</v>
          </cell>
          <cell r="X48" t="str">
            <v>Express</v>
          </cell>
          <cell r="Y48">
            <v>5</v>
          </cell>
          <cell r="Z48">
            <v>5</v>
          </cell>
        </row>
        <row r="49">
          <cell r="A49">
            <v>6353946</v>
          </cell>
          <cell r="B49">
            <v>39757</v>
          </cell>
          <cell r="C49" t="str">
            <v>Lauren Hayes</v>
          </cell>
          <cell r="D49" t="str">
            <v>Portsmouth</v>
          </cell>
          <cell r="E49" t="str">
            <v>England</v>
          </cell>
          <cell r="F49" t="str">
            <v>UK</v>
          </cell>
          <cell r="G49">
            <v>27</v>
          </cell>
          <cell r="H49">
            <v>27</v>
          </cell>
          <cell r="I49" t="str">
            <v>Female</v>
          </cell>
          <cell r="J49" t="str">
            <v>Female</v>
          </cell>
          <cell r="K49" t="str">
            <v>Medium</v>
          </cell>
          <cell r="L49" t="str">
            <v>Regular</v>
          </cell>
          <cell r="M49">
            <v>45123</v>
          </cell>
          <cell r="N49">
            <v>8</v>
          </cell>
          <cell r="O49">
            <v>8</v>
          </cell>
          <cell r="P49">
            <v>93.004218839999993</v>
          </cell>
          <cell r="Q49">
            <v>744.03375070000004</v>
          </cell>
          <cell r="R49" t="str">
            <v>Home Decor</v>
          </cell>
          <cell r="S49" t="str">
            <v>Home Decor</v>
          </cell>
          <cell r="T49" t="str">
            <v>Decorations</v>
          </cell>
          <cell r="U49" t="str">
            <v>Home Decor</v>
          </cell>
          <cell r="V49" t="str">
            <v>Good</v>
          </cell>
          <cell r="W49" t="str">
            <v>Good</v>
          </cell>
          <cell r="X49" t="str">
            <v>Same-Day</v>
          </cell>
          <cell r="Y49">
            <v>3</v>
          </cell>
          <cell r="Z49">
            <v>3</v>
          </cell>
        </row>
        <row r="50">
          <cell r="A50">
            <v>8796466</v>
          </cell>
          <cell r="B50">
            <v>90189</v>
          </cell>
          <cell r="C50" t="str">
            <v>Maria Tucker</v>
          </cell>
          <cell r="D50" t="str">
            <v>Portsmouth</v>
          </cell>
          <cell r="E50" t="str">
            <v>England</v>
          </cell>
          <cell r="F50" t="str">
            <v>UK</v>
          </cell>
          <cell r="G50">
            <v>35</v>
          </cell>
          <cell r="H50">
            <v>35</v>
          </cell>
          <cell r="I50" t="str">
            <v>Female</v>
          </cell>
          <cell r="J50" t="str">
            <v>Female</v>
          </cell>
          <cell r="K50" t="str">
            <v>Medium</v>
          </cell>
          <cell r="L50" t="str">
            <v>Regular</v>
          </cell>
          <cell r="M50">
            <v>45035</v>
          </cell>
          <cell r="N50">
            <v>7</v>
          </cell>
          <cell r="O50">
            <v>7</v>
          </cell>
          <cell r="P50">
            <v>346.7195926</v>
          </cell>
          <cell r="Q50">
            <v>2427.0371479999999</v>
          </cell>
          <cell r="R50" t="str">
            <v>Home Decor</v>
          </cell>
          <cell r="S50" t="str">
            <v>Home Decor</v>
          </cell>
          <cell r="T50" t="str">
            <v>Bedding</v>
          </cell>
          <cell r="U50" t="str">
            <v>Home Decor</v>
          </cell>
          <cell r="V50" t="str">
            <v>Bad</v>
          </cell>
          <cell r="W50" t="str">
            <v>Bad</v>
          </cell>
          <cell r="X50" t="str">
            <v>Standard</v>
          </cell>
          <cell r="Y50">
            <v>1</v>
          </cell>
          <cell r="Z50">
            <v>1</v>
          </cell>
        </row>
        <row r="51">
          <cell r="A51">
            <v>2545225</v>
          </cell>
          <cell r="B51">
            <v>86575</v>
          </cell>
          <cell r="C51" t="str">
            <v>Derek Green</v>
          </cell>
          <cell r="D51" t="str">
            <v>Portsmouth</v>
          </cell>
          <cell r="E51" t="str">
            <v>England</v>
          </cell>
          <cell r="F51" t="str">
            <v>UK</v>
          </cell>
          <cell r="G51">
            <v>57</v>
          </cell>
          <cell r="H51">
            <v>57</v>
          </cell>
          <cell r="I51" t="str">
            <v>Female</v>
          </cell>
          <cell r="J51" t="str">
            <v>Female</v>
          </cell>
          <cell r="K51" t="str">
            <v>Medium</v>
          </cell>
          <cell r="L51" t="str">
            <v>Regular</v>
          </cell>
          <cell r="M51">
            <v>45179</v>
          </cell>
          <cell r="N51">
            <v>6</v>
          </cell>
          <cell r="O51">
            <v>6</v>
          </cell>
          <cell r="P51">
            <v>106.506742</v>
          </cell>
          <cell r="Q51">
            <v>639.04045199999996</v>
          </cell>
          <cell r="R51" t="str">
            <v>Clothing</v>
          </cell>
          <cell r="S51" t="str">
            <v>Clothing</v>
          </cell>
          <cell r="T51" t="str">
            <v>Jacket</v>
          </cell>
          <cell r="U51" t="str">
            <v>Clothing</v>
          </cell>
          <cell r="V51" t="str">
            <v>Average</v>
          </cell>
          <cell r="W51" t="str">
            <v>Average</v>
          </cell>
          <cell r="X51" t="str">
            <v>Standard</v>
          </cell>
          <cell r="Y51">
            <v>2</v>
          </cell>
          <cell r="Z51">
            <v>2</v>
          </cell>
        </row>
        <row r="52">
          <cell r="A52">
            <v>9051490</v>
          </cell>
          <cell r="B52">
            <v>19303</v>
          </cell>
          <cell r="C52" t="str">
            <v>Rachel Hobbs</v>
          </cell>
          <cell r="D52" t="str">
            <v>Portsmouth</v>
          </cell>
          <cell r="E52" t="str">
            <v>England</v>
          </cell>
          <cell r="F52" t="str">
            <v>UK</v>
          </cell>
          <cell r="G52">
            <v>36</v>
          </cell>
          <cell r="H52">
            <v>36</v>
          </cell>
          <cell r="I52" t="str">
            <v>Male</v>
          </cell>
          <cell r="J52" t="str">
            <v>Male</v>
          </cell>
          <cell r="K52" t="str">
            <v>Low</v>
          </cell>
          <cell r="L52" t="str">
            <v>Regular</v>
          </cell>
          <cell r="M52">
            <v>45000</v>
          </cell>
          <cell r="N52">
            <v>2</v>
          </cell>
          <cell r="O52">
            <v>2</v>
          </cell>
          <cell r="P52">
            <v>230.87585229999999</v>
          </cell>
          <cell r="Q52">
            <v>461.7517047</v>
          </cell>
          <cell r="R52" t="str">
            <v>Home Decor</v>
          </cell>
          <cell r="S52" t="str">
            <v>Home Decor</v>
          </cell>
          <cell r="T52" t="str">
            <v>Furniture</v>
          </cell>
          <cell r="U52" t="str">
            <v>Home Decor</v>
          </cell>
          <cell r="V52" t="str">
            <v>Bad</v>
          </cell>
          <cell r="W52" t="str">
            <v>Bad</v>
          </cell>
          <cell r="X52" t="str">
            <v>Standard</v>
          </cell>
          <cell r="Y52">
            <v>1</v>
          </cell>
          <cell r="Z52">
            <v>1</v>
          </cell>
        </row>
        <row r="53">
          <cell r="A53">
            <v>4580441</v>
          </cell>
          <cell r="B53">
            <v>12911</v>
          </cell>
          <cell r="C53" t="str">
            <v>Chelsea Cummings</v>
          </cell>
          <cell r="D53" t="str">
            <v>Portsmouth</v>
          </cell>
          <cell r="E53" t="str">
            <v>England</v>
          </cell>
          <cell r="F53" t="str">
            <v>UK</v>
          </cell>
          <cell r="G53">
            <v>69</v>
          </cell>
          <cell r="H53">
            <v>69</v>
          </cell>
          <cell r="I53" t="str">
            <v>Male</v>
          </cell>
          <cell r="J53" t="str">
            <v>Male</v>
          </cell>
          <cell r="K53" t="str">
            <v>High</v>
          </cell>
          <cell r="L53" t="str">
            <v>Regular</v>
          </cell>
          <cell r="M53">
            <v>45241</v>
          </cell>
          <cell r="N53">
            <v>3</v>
          </cell>
          <cell r="O53">
            <v>3</v>
          </cell>
          <cell r="P53">
            <v>394.60626559999997</v>
          </cell>
          <cell r="Q53">
            <v>1183.8187969999999</v>
          </cell>
          <cell r="R53" t="str">
            <v>Grocery</v>
          </cell>
          <cell r="S53" t="str">
            <v>Grocery</v>
          </cell>
          <cell r="T53" t="str">
            <v>Chocolate</v>
          </cell>
          <cell r="U53" t="str">
            <v>Grocery</v>
          </cell>
          <cell r="V53" t="str">
            <v>Excellent</v>
          </cell>
          <cell r="W53" t="str">
            <v>Excellent</v>
          </cell>
          <cell r="X53" t="str">
            <v>Express</v>
          </cell>
          <cell r="Y53">
            <v>5</v>
          </cell>
          <cell r="Z53">
            <v>5</v>
          </cell>
        </row>
        <row r="54">
          <cell r="A54">
            <v>9786592</v>
          </cell>
          <cell r="B54">
            <v>71257</v>
          </cell>
          <cell r="C54" t="str">
            <v>Bryan Edwards</v>
          </cell>
          <cell r="D54" t="str">
            <v>Portsmouth</v>
          </cell>
          <cell r="E54" t="str">
            <v>England</v>
          </cell>
          <cell r="F54" t="str">
            <v>UK</v>
          </cell>
          <cell r="G54">
            <v>59</v>
          </cell>
          <cell r="H54">
            <v>59</v>
          </cell>
          <cell r="I54" t="str">
            <v>Male</v>
          </cell>
          <cell r="J54" t="str">
            <v>Male</v>
          </cell>
          <cell r="K54" t="str">
            <v>High</v>
          </cell>
          <cell r="L54" t="str">
            <v>Regular</v>
          </cell>
          <cell r="M54">
            <v>45132</v>
          </cell>
          <cell r="N54">
            <v>2</v>
          </cell>
          <cell r="O54">
            <v>2</v>
          </cell>
          <cell r="P54">
            <v>281.6001693</v>
          </cell>
          <cell r="Q54">
            <v>563.20033869999997</v>
          </cell>
          <cell r="R54" t="str">
            <v>Electronics</v>
          </cell>
          <cell r="S54" t="str">
            <v>Electronics</v>
          </cell>
          <cell r="T54" t="str">
            <v>Television</v>
          </cell>
          <cell r="U54" t="str">
            <v>Electronics</v>
          </cell>
          <cell r="V54" t="str">
            <v>Average</v>
          </cell>
          <cell r="W54" t="str">
            <v>Average</v>
          </cell>
          <cell r="X54" t="str">
            <v>Standard</v>
          </cell>
          <cell r="Y54">
            <v>2</v>
          </cell>
          <cell r="Z54">
            <v>2</v>
          </cell>
        </row>
        <row r="55">
          <cell r="A55">
            <v>6315151</v>
          </cell>
          <cell r="B55">
            <v>75456</v>
          </cell>
          <cell r="C55" t="str">
            <v>Christopher Burgess</v>
          </cell>
          <cell r="D55" t="str">
            <v>Portsmouth</v>
          </cell>
          <cell r="E55" t="str">
            <v>England</v>
          </cell>
          <cell r="F55" t="str">
            <v>UK</v>
          </cell>
          <cell r="G55">
            <v>38</v>
          </cell>
          <cell r="H55">
            <v>38</v>
          </cell>
          <cell r="I55" t="str">
            <v>Female</v>
          </cell>
          <cell r="J55" t="str">
            <v>Female</v>
          </cell>
          <cell r="K55" t="str">
            <v>High</v>
          </cell>
          <cell r="L55" t="str">
            <v>Regular</v>
          </cell>
          <cell r="M55">
            <v>45202</v>
          </cell>
          <cell r="N55">
            <v>4</v>
          </cell>
          <cell r="O55">
            <v>4</v>
          </cell>
          <cell r="P55">
            <v>303.78986450000002</v>
          </cell>
          <cell r="Q55">
            <v>1215.1594580000001</v>
          </cell>
          <cell r="R55" t="str">
            <v>Electronics</v>
          </cell>
          <cell r="S55" t="str">
            <v>Electronics</v>
          </cell>
          <cell r="T55" t="str">
            <v>Headphones</v>
          </cell>
          <cell r="U55" t="str">
            <v>Electronics</v>
          </cell>
          <cell r="V55" t="str">
            <v>Bad</v>
          </cell>
          <cell r="W55" t="str">
            <v>Bad</v>
          </cell>
          <cell r="X55" t="str">
            <v>Express</v>
          </cell>
          <cell r="Y55">
            <v>1</v>
          </cell>
          <cell r="Z55">
            <v>1</v>
          </cell>
        </row>
        <row r="56">
          <cell r="A56">
            <v>6857160</v>
          </cell>
          <cell r="B56">
            <v>50574</v>
          </cell>
          <cell r="C56" t="str">
            <v>James Church</v>
          </cell>
          <cell r="D56" t="str">
            <v>Portsmouth</v>
          </cell>
          <cell r="E56" t="str">
            <v>England</v>
          </cell>
          <cell r="F56" t="str">
            <v>UK</v>
          </cell>
          <cell r="G56">
            <v>46</v>
          </cell>
          <cell r="H56">
            <v>46</v>
          </cell>
          <cell r="I56" t="str">
            <v>Male</v>
          </cell>
          <cell r="J56" t="str">
            <v>Male</v>
          </cell>
          <cell r="K56" t="str">
            <v>Low</v>
          </cell>
          <cell r="L56" t="str">
            <v>Regular</v>
          </cell>
          <cell r="M56">
            <v>45216</v>
          </cell>
          <cell r="N56">
            <v>4</v>
          </cell>
          <cell r="O56">
            <v>4</v>
          </cell>
          <cell r="P56">
            <v>129.7569724</v>
          </cell>
          <cell r="Q56">
            <v>519.02788950000001</v>
          </cell>
          <cell r="R56" t="str">
            <v>Clothing</v>
          </cell>
          <cell r="S56" t="str">
            <v>Clothing</v>
          </cell>
          <cell r="T56" t="str">
            <v>Shoes</v>
          </cell>
          <cell r="U56" t="str">
            <v>Clothing</v>
          </cell>
          <cell r="V56" t="str">
            <v>Bad</v>
          </cell>
          <cell r="W56" t="str">
            <v>Bad</v>
          </cell>
          <cell r="X56" t="str">
            <v>Same-Day</v>
          </cell>
          <cell r="Y56">
            <v>1</v>
          </cell>
          <cell r="Z56">
            <v>1</v>
          </cell>
        </row>
        <row r="57">
          <cell r="A57">
            <v>8523222</v>
          </cell>
          <cell r="B57">
            <v>81200</v>
          </cell>
          <cell r="C57" t="str">
            <v>Tony Moon</v>
          </cell>
          <cell r="D57" t="str">
            <v>Portsmouth</v>
          </cell>
          <cell r="E57" t="str">
            <v>England</v>
          </cell>
          <cell r="F57" t="str">
            <v>UK</v>
          </cell>
          <cell r="G57">
            <v>24</v>
          </cell>
          <cell r="H57">
            <v>24</v>
          </cell>
          <cell r="I57" t="str">
            <v>Male</v>
          </cell>
          <cell r="J57" t="str">
            <v>Male</v>
          </cell>
          <cell r="K57" t="str">
            <v>Medium</v>
          </cell>
          <cell r="L57" t="str">
            <v>Regular</v>
          </cell>
          <cell r="M57">
            <v>45104</v>
          </cell>
          <cell r="N57">
            <v>4</v>
          </cell>
          <cell r="O57">
            <v>4</v>
          </cell>
          <cell r="P57">
            <v>257.58697239999998</v>
          </cell>
          <cell r="Q57">
            <v>1030.34789</v>
          </cell>
          <cell r="R57" t="str">
            <v>Electronics</v>
          </cell>
          <cell r="S57" t="str">
            <v>Electronics</v>
          </cell>
          <cell r="T57" t="str">
            <v>Headphones</v>
          </cell>
          <cell r="U57" t="str">
            <v>Electronics</v>
          </cell>
          <cell r="V57" t="str">
            <v>Good</v>
          </cell>
          <cell r="W57" t="str">
            <v>Good</v>
          </cell>
          <cell r="X57" t="str">
            <v>Same-Day</v>
          </cell>
          <cell r="Y57">
            <v>4</v>
          </cell>
          <cell r="Z57">
            <v>4</v>
          </cell>
        </row>
        <row r="58">
          <cell r="A58">
            <v>6921233</v>
          </cell>
          <cell r="B58">
            <v>21381</v>
          </cell>
          <cell r="C58" t="str">
            <v>Stanley Quinn</v>
          </cell>
          <cell r="D58" t="str">
            <v>Portsmouth</v>
          </cell>
          <cell r="E58" t="str">
            <v>England</v>
          </cell>
          <cell r="F58" t="str">
            <v>UK</v>
          </cell>
          <cell r="G58">
            <v>67</v>
          </cell>
          <cell r="H58">
            <v>67</v>
          </cell>
          <cell r="I58" t="str">
            <v>Male</v>
          </cell>
          <cell r="J58" t="str">
            <v>Male</v>
          </cell>
          <cell r="K58" t="str">
            <v>Medium</v>
          </cell>
          <cell r="L58" t="str">
            <v>Regular</v>
          </cell>
          <cell r="M58">
            <v>45256</v>
          </cell>
          <cell r="N58">
            <v>10</v>
          </cell>
          <cell r="O58">
            <v>10</v>
          </cell>
          <cell r="P58">
            <v>387.55344580000002</v>
          </cell>
          <cell r="Q58">
            <v>3875.5344580000001</v>
          </cell>
          <cell r="R58" t="str">
            <v>Home Decor</v>
          </cell>
          <cell r="S58" t="str">
            <v>Home Decor</v>
          </cell>
          <cell r="T58" t="str">
            <v>Decorations</v>
          </cell>
          <cell r="U58" t="str">
            <v>Home Decor</v>
          </cell>
          <cell r="V58" t="str">
            <v>Average</v>
          </cell>
          <cell r="W58" t="str">
            <v>Average</v>
          </cell>
          <cell r="X58" t="str">
            <v>Same-Day</v>
          </cell>
          <cell r="Y58">
            <v>2</v>
          </cell>
          <cell r="Z58">
            <v>2</v>
          </cell>
        </row>
        <row r="59">
          <cell r="A59">
            <v>9658399</v>
          </cell>
          <cell r="B59">
            <v>71121</v>
          </cell>
          <cell r="C59" t="str">
            <v>Heather Sloan</v>
          </cell>
          <cell r="D59" t="str">
            <v>Portsmouth</v>
          </cell>
          <cell r="E59" t="str">
            <v>England</v>
          </cell>
          <cell r="F59" t="str">
            <v>UK</v>
          </cell>
          <cell r="G59">
            <v>54</v>
          </cell>
          <cell r="H59">
            <v>54</v>
          </cell>
          <cell r="I59" t="str">
            <v>Female</v>
          </cell>
          <cell r="J59" t="str">
            <v>Female</v>
          </cell>
          <cell r="K59" t="str">
            <v>High</v>
          </cell>
          <cell r="L59" t="str">
            <v>Regular</v>
          </cell>
          <cell r="M59">
            <v>45340</v>
          </cell>
          <cell r="N59">
            <v>10</v>
          </cell>
          <cell r="O59">
            <v>10</v>
          </cell>
          <cell r="P59">
            <v>97.996788559999999</v>
          </cell>
          <cell r="Q59">
            <v>979.96788560000005</v>
          </cell>
          <cell r="R59" t="str">
            <v>Grocery</v>
          </cell>
          <cell r="S59" t="str">
            <v>Grocery</v>
          </cell>
          <cell r="T59" t="str">
            <v>Soft Drink</v>
          </cell>
          <cell r="U59" t="str">
            <v>Grocery</v>
          </cell>
          <cell r="V59" t="str">
            <v>Bad</v>
          </cell>
          <cell r="W59" t="str">
            <v>Bad</v>
          </cell>
          <cell r="X59" t="str">
            <v>Same-Day</v>
          </cell>
          <cell r="Y59">
            <v>1</v>
          </cell>
          <cell r="Z59">
            <v>1</v>
          </cell>
        </row>
        <row r="60">
          <cell r="A60">
            <v>3121715</v>
          </cell>
          <cell r="B60">
            <v>64722</v>
          </cell>
          <cell r="C60" t="str">
            <v>Richard Morales</v>
          </cell>
          <cell r="D60" t="str">
            <v>Portsmouth</v>
          </cell>
          <cell r="E60" t="str">
            <v>England</v>
          </cell>
          <cell r="F60" t="str">
            <v>UK</v>
          </cell>
          <cell r="G60">
            <v>68</v>
          </cell>
          <cell r="H60">
            <v>68</v>
          </cell>
          <cell r="I60" t="str">
            <v>Male</v>
          </cell>
          <cell r="J60" t="str">
            <v>Male</v>
          </cell>
          <cell r="K60" t="str">
            <v>Medium</v>
          </cell>
          <cell r="L60" t="str">
            <v>Regular</v>
          </cell>
          <cell r="M60">
            <v>45344</v>
          </cell>
          <cell r="N60">
            <v>9</v>
          </cell>
          <cell r="O60">
            <v>9</v>
          </cell>
          <cell r="P60">
            <v>291.88127320000001</v>
          </cell>
          <cell r="Q60">
            <v>2626.9314589999999</v>
          </cell>
          <cell r="R60" t="str">
            <v>Books</v>
          </cell>
          <cell r="S60" t="str">
            <v>Books</v>
          </cell>
          <cell r="T60" t="str">
            <v>Literature</v>
          </cell>
          <cell r="U60" t="str">
            <v>Books</v>
          </cell>
          <cell r="V60" t="str">
            <v>Average</v>
          </cell>
          <cell r="W60" t="str">
            <v>Average</v>
          </cell>
          <cell r="X60" t="str">
            <v>Express</v>
          </cell>
          <cell r="Y60">
            <v>2</v>
          </cell>
          <cell r="Z60">
            <v>2</v>
          </cell>
        </row>
        <row r="61">
          <cell r="A61">
            <v>4021565</v>
          </cell>
          <cell r="B61">
            <v>59819</v>
          </cell>
          <cell r="C61" t="str">
            <v>Christina Snow</v>
          </cell>
          <cell r="D61" t="str">
            <v>Portsmouth</v>
          </cell>
          <cell r="E61" t="str">
            <v>England</v>
          </cell>
          <cell r="F61" t="str">
            <v>UK</v>
          </cell>
          <cell r="G61">
            <v>29</v>
          </cell>
          <cell r="H61">
            <v>29</v>
          </cell>
          <cell r="I61" t="str">
            <v>Male</v>
          </cell>
          <cell r="J61" t="str">
            <v>Male</v>
          </cell>
          <cell r="K61" t="str">
            <v>Medium</v>
          </cell>
          <cell r="L61" t="str">
            <v>Regular</v>
          </cell>
          <cell r="M61">
            <v>45207</v>
          </cell>
          <cell r="N61">
            <v>9</v>
          </cell>
          <cell r="O61">
            <v>9</v>
          </cell>
          <cell r="P61">
            <v>474.8269416</v>
          </cell>
          <cell r="Q61">
            <v>4273.4424740000004</v>
          </cell>
          <cell r="R61" t="str">
            <v>Books</v>
          </cell>
          <cell r="S61" t="str">
            <v>Books</v>
          </cell>
          <cell r="T61" t="str">
            <v>Non-Fiction</v>
          </cell>
          <cell r="U61" t="str">
            <v>Books</v>
          </cell>
          <cell r="V61" t="str">
            <v>Average</v>
          </cell>
          <cell r="W61" t="str">
            <v>Average</v>
          </cell>
          <cell r="X61" t="str">
            <v>Standard</v>
          </cell>
          <cell r="Y61">
            <v>2</v>
          </cell>
          <cell r="Z61">
            <v>2</v>
          </cell>
        </row>
        <row r="62">
          <cell r="A62">
            <v>4058513</v>
          </cell>
          <cell r="B62">
            <v>57742</v>
          </cell>
          <cell r="C62" t="str">
            <v>Lisa Tyler</v>
          </cell>
          <cell r="D62" t="str">
            <v>Portsmouth</v>
          </cell>
          <cell r="E62" t="str">
            <v>England</v>
          </cell>
          <cell r="F62" t="str">
            <v>UK</v>
          </cell>
          <cell r="G62">
            <v>26</v>
          </cell>
          <cell r="H62">
            <v>26</v>
          </cell>
          <cell r="I62" t="str">
            <v>Male</v>
          </cell>
          <cell r="J62" t="str">
            <v>Male</v>
          </cell>
          <cell r="K62" t="str">
            <v>Low</v>
          </cell>
          <cell r="L62" t="str">
            <v>Regular</v>
          </cell>
          <cell r="M62">
            <v>45210</v>
          </cell>
          <cell r="N62">
            <v>9</v>
          </cell>
          <cell r="O62">
            <v>9</v>
          </cell>
          <cell r="P62">
            <v>93.062150500000001</v>
          </cell>
          <cell r="Q62">
            <v>837.55935450000004</v>
          </cell>
          <cell r="R62" t="str">
            <v>Home Decor</v>
          </cell>
          <cell r="S62" t="str">
            <v>Home Decor</v>
          </cell>
          <cell r="T62" t="str">
            <v>Kitchen</v>
          </cell>
          <cell r="U62" t="str">
            <v>Home Decor</v>
          </cell>
          <cell r="V62" t="str">
            <v>Average</v>
          </cell>
          <cell r="W62" t="str">
            <v>Average</v>
          </cell>
          <cell r="X62" t="str">
            <v>Same-Day</v>
          </cell>
          <cell r="Y62">
            <v>2</v>
          </cell>
          <cell r="Z62">
            <v>2</v>
          </cell>
        </row>
        <row r="63">
          <cell r="A63">
            <v>8670923</v>
          </cell>
          <cell r="B63">
            <v>80071</v>
          </cell>
          <cell r="C63" t="str">
            <v>Patricia Reese</v>
          </cell>
          <cell r="D63" t="str">
            <v>Portsmouth</v>
          </cell>
          <cell r="E63" t="str">
            <v>England</v>
          </cell>
          <cell r="F63" t="str">
            <v>UK</v>
          </cell>
          <cell r="G63">
            <v>41</v>
          </cell>
          <cell r="H63">
            <v>41</v>
          </cell>
          <cell r="I63" t="str">
            <v>Female</v>
          </cell>
          <cell r="J63" t="str">
            <v>Female</v>
          </cell>
          <cell r="K63" t="str">
            <v>Low</v>
          </cell>
          <cell r="L63" t="str">
            <v>Regular</v>
          </cell>
          <cell r="M63">
            <v>45186</v>
          </cell>
          <cell r="N63">
            <v>6</v>
          </cell>
          <cell r="O63">
            <v>6</v>
          </cell>
          <cell r="P63">
            <v>71.191550789999994</v>
          </cell>
          <cell r="Q63">
            <v>427.14930470000002</v>
          </cell>
          <cell r="R63" t="str">
            <v>Home Decor</v>
          </cell>
          <cell r="S63" t="str">
            <v>Home Decor</v>
          </cell>
          <cell r="T63" t="str">
            <v>Tools</v>
          </cell>
          <cell r="U63" t="str">
            <v>Home Decor</v>
          </cell>
          <cell r="V63" t="str">
            <v>Average</v>
          </cell>
          <cell r="W63" t="str">
            <v>Average</v>
          </cell>
          <cell r="X63" t="str">
            <v>Standard</v>
          </cell>
          <cell r="Y63">
            <v>2</v>
          </cell>
          <cell r="Z63">
            <v>2</v>
          </cell>
        </row>
        <row r="64">
          <cell r="A64">
            <v>4427458</v>
          </cell>
          <cell r="B64">
            <v>97683</v>
          </cell>
          <cell r="C64" t="str">
            <v>Dr. Chad Lindsey</v>
          </cell>
          <cell r="D64" t="str">
            <v>Portsmouth</v>
          </cell>
          <cell r="E64" t="str">
            <v>England</v>
          </cell>
          <cell r="F64" t="str">
            <v>UK</v>
          </cell>
          <cell r="G64">
            <v>31</v>
          </cell>
          <cell r="H64">
            <v>31</v>
          </cell>
          <cell r="I64" t="str">
            <v>Female</v>
          </cell>
          <cell r="J64" t="str">
            <v>Female</v>
          </cell>
          <cell r="K64" t="str">
            <v>Low</v>
          </cell>
          <cell r="L64" t="str">
            <v>Regular</v>
          </cell>
          <cell r="M64">
            <v>45234</v>
          </cell>
          <cell r="N64">
            <v>3</v>
          </cell>
          <cell r="O64">
            <v>3</v>
          </cell>
          <cell r="P64">
            <v>85.156932459999993</v>
          </cell>
          <cell r="Q64">
            <v>255.47079740000001</v>
          </cell>
          <cell r="R64" t="str">
            <v>Clothing</v>
          </cell>
          <cell r="S64" t="str">
            <v>Clothing</v>
          </cell>
          <cell r="T64" t="str">
            <v>Shoes</v>
          </cell>
          <cell r="U64" t="str">
            <v>Clothing</v>
          </cell>
          <cell r="V64" t="str">
            <v>Average</v>
          </cell>
          <cell r="W64" t="str">
            <v>Average</v>
          </cell>
          <cell r="X64" t="str">
            <v>Same-Day</v>
          </cell>
          <cell r="Y64">
            <v>2</v>
          </cell>
          <cell r="Z64">
            <v>2</v>
          </cell>
        </row>
        <row r="65">
          <cell r="A65">
            <v>5532127</v>
          </cell>
          <cell r="B65">
            <v>51980</v>
          </cell>
          <cell r="C65" t="str">
            <v>Victoria Short</v>
          </cell>
          <cell r="D65" t="str">
            <v>Portsmouth</v>
          </cell>
          <cell r="E65" t="str">
            <v>England</v>
          </cell>
          <cell r="F65" t="str">
            <v>UK</v>
          </cell>
          <cell r="G65">
            <v>34</v>
          </cell>
          <cell r="H65">
            <v>34</v>
          </cell>
          <cell r="I65" t="str">
            <v>Female</v>
          </cell>
          <cell r="J65" t="str">
            <v>Female</v>
          </cell>
          <cell r="K65" t="str">
            <v>High</v>
          </cell>
          <cell r="L65" t="str">
            <v>Regular</v>
          </cell>
          <cell r="M65">
            <v>45097</v>
          </cell>
          <cell r="N65">
            <v>9</v>
          </cell>
          <cell r="O65">
            <v>9</v>
          </cell>
          <cell r="P65">
            <v>306.54573210000001</v>
          </cell>
          <cell r="Q65">
            <v>2758.9115889999998</v>
          </cell>
          <cell r="R65" t="str">
            <v>Books</v>
          </cell>
          <cell r="S65" t="str">
            <v>Books</v>
          </cell>
          <cell r="T65" t="str">
            <v>Literature</v>
          </cell>
          <cell r="U65" t="str">
            <v>Books</v>
          </cell>
          <cell r="V65" t="str">
            <v>Average</v>
          </cell>
          <cell r="W65" t="str">
            <v>Average</v>
          </cell>
          <cell r="X65" t="str">
            <v>Standard</v>
          </cell>
          <cell r="Y65">
            <v>2</v>
          </cell>
          <cell r="Z65">
            <v>2</v>
          </cell>
        </row>
        <row r="66">
          <cell r="A66">
            <v>6761027</v>
          </cell>
          <cell r="B66">
            <v>11397</v>
          </cell>
          <cell r="C66" t="str">
            <v>Tracy Baxter</v>
          </cell>
          <cell r="D66" t="str">
            <v>Portsmouth</v>
          </cell>
          <cell r="E66" t="str">
            <v>England</v>
          </cell>
          <cell r="F66" t="str">
            <v>UK</v>
          </cell>
          <cell r="G66">
            <v>29</v>
          </cell>
          <cell r="H66">
            <v>29</v>
          </cell>
          <cell r="I66" t="str">
            <v>Female</v>
          </cell>
          <cell r="J66" t="str">
            <v>Female</v>
          </cell>
          <cell r="K66" t="str">
            <v>Low</v>
          </cell>
          <cell r="L66" t="str">
            <v>Regular</v>
          </cell>
          <cell r="M66">
            <v>45169</v>
          </cell>
          <cell r="N66">
            <v>2</v>
          </cell>
          <cell r="O66">
            <v>2</v>
          </cell>
          <cell r="P66">
            <v>405.4487158</v>
          </cell>
          <cell r="Q66">
            <v>810.8974316</v>
          </cell>
          <cell r="R66" t="str">
            <v>Home Decor</v>
          </cell>
          <cell r="S66" t="str">
            <v>Home Decor</v>
          </cell>
          <cell r="T66" t="str">
            <v>Furniture</v>
          </cell>
          <cell r="U66" t="str">
            <v>Home Decor</v>
          </cell>
          <cell r="V66" t="str">
            <v>Good</v>
          </cell>
          <cell r="W66" t="str">
            <v>Good</v>
          </cell>
          <cell r="X66" t="str">
            <v>Standard</v>
          </cell>
          <cell r="Y66">
            <v>4</v>
          </cell>
          <cell r="Z66">
            <v>4</v>
          </cell>
        </row>
        <row r="67">
          <cell r="A67">
            <v>9202969</v>
          </cell>
          <cell r="B67">
            <v>35966</v>
          </cell>
          <cell r="C67" t="str">
            <v>Jennifer Wright</v>
          </cell>
          <cell r="D67" t="str">
            <v>Portsmouth</v>
          </cell>
          <cell r="E67" t="str">
            <v>England</v>
          </cell>
          <cell r="F67" t="str">
            <v>UK</v>
          </cell>
          <cell r="G67">
            <v>69</v>
          </cell>
          <cell r="H67">
            <v>69</v>
          </cell>
          <cell r="I67" t="str">
            <v>Male</v>
          </cell>
          <cell r="J67" t="str">
            <v>Male</v>
          </cell>
          <cell r="K67" t="str">
            <v>Low</v>
          </cell>
          <cell r="L67" t="str">
            <v>Regular</v>
          </cell>
          <cell r="M67">
            <v>45342</v>
          </cell>
          <cell r="N67">
            <v>4</v>
          </cell>
          <cell r="O67">
            <v>4</v>
          </cell>
          <cell r="P67">
            <v>187.09260259999999</v>
          </cell>
          <cell r="Q67">
            <v>748.37041050000005</v>
          </cell>
          <cell r="R67" t="str">
            <v>Books</v>
          </cell>
          <cell r="S67" t="str">
            <v>Books</v>
          </cell>
          <cell r="T67" t="str">
            <v>Non-Fiction</v>
          </cell>
          <cell r="U67" t="str">
            <v>Books</v>
          </cell>
          <cell r="V67" t="str">
            <v>Bad</v>
          </cell>
          <cell r="W67" t="str">
            <v>Bad</v>
          </cell>
          <cell r="X67" t="str">
            <v>Express</v>
          </cell>
          <cell r="Y67">
            <v>1</v>
          </cell>
          <cell r="Z67">
            <v>1</v>
          </cell>
        </row>
        <row r="68">
          <cell r="A68">
            <v>5161746</v>
          </cell>
          <cell r="B68">
            <v>95925</v>
          </cell>
          <cell r="C68" t="str">
            <v>Jesus Cole</v>
          </cell>
          <cell r="D68" t="str">
            <v>Portsmouth</v>
          </cell>
          <cell r="E68" t="str">
            <v>England</v>
          </cell>
          <cell r="F68" t="str">
            <v>UK</v>
          </cell>
          <cell r="G68">
            <v>58</v>
          </cell>
          <cell r="H68">
            <v>58</v>
          </cell>
          <cell r="I68" t="str">
            <v>Male</v>
          </cell>
          <cell r="J68" t="str">
            <v>Male</v>
          </cell>
          <cell r="K68" t="str">
            <v>Medium</v>
          </cell>
          <cell r="L68" t="str">
            <v>Regular</v>
          </cell>
          <cell r="M68">
            <v>44997</v>
          </cell>
          <cell r="N68">
            <v>10</v>
          </cell>
          <cell r="O68">
            <v>10</v>
          </cell>
          <cell r="P68">
            <v>313.48811430000001</v>
          </cell>
          <cell r="Q68">
            <v>3134.8811430000001</v>
          </cell>
          <cell r="R68" t="str">
            <v>Electronics</v>
          </cell>
          <cell r="S68" t="str">
            <v>Electronics</v>
          </cell>
          <cell r="T68" t="str">
            <v>Headphones</v>
          </cell>
          <cell r="U68" t="str">
            <v>Electronics</v>
          </cell>
          <cell r="V68" t="str">
            <v>Average</v>
          </cell>
          <cell r="W68" t="str">
            <v>Average</v>
          </cell>
          <cell r="X68" t="str">
            <v>Same-Day</v>
          </cell>
          <cell r="Y68">
            <v>2</v>
          </cell>
          <cell r="Z68">
            <v>2</v>
          </cell>
        </row>
        <row r="69">
          <cell r="A69">
            <v>4154386</v>
          </cell>
          <cell r="B69">
            <v>56726</v>
          </cell>
          <cell r="C69" t="str">
            <v>Scott Sampson II</v>
          </cell>
          <cell r="D69" t="str">
            <v>Portsmouth</v>
          </cell>
          <cell r="E69" t="str">
            <v>England</v>
          </cell>
          <cell r="F69" t="str">
            <v>UK</v>
          </cell>
          <cell r="G69">
            <v>38</v>
          </cell>
          <cell r="H69">
            <v>38</v>
          </cell>
          <cell r="I69" t="str">
            <v>Male</v>
          </cell>
          <cell r="J69" t="str">
            <v>Male</v>
          </cell>
          <cell r="K69" t="str">
            <v>Medium</v>
          </cell>
          <cell r="L69" t="str">
            <v>Regular</v>
          </cell>
          <cell r="M69">
            <v>45130</v>
          </cell>
          <cell r="N69">
            <v>4</v>
          </cell>
          <cell r="O69">
            <v>4</v>
          </cell>
          <cell r="P69">
            <v>148.7134709</v>
          </cell>
          <cell r="Q69">
            <v>594.85388350000005</v>
          </cell>
          <cell r="R69" t="str">
            <v>Home Decor</v>
          </cell>
          <cell r="S69" t="str">
            <v>Home Decor</v>
          </cell>
          <cell r="T69" t="str">
            <v>Decorations</v>
          </cell>
          <cell r="U69" t="str">
            <v>Home Decor</v>
          </cell>
          <cell r="V69" t="str">
            <v>Good</v>
          </cell>
          <cell r="W69" t="str">
            <v>Good</v>
          </cell>
          <cell r="X69" t="str">
            <v>Same-Day</v>
          </cell>
          <cell r="Y69">
            <v>3</v>
          </cell>
          <cell r="Z69">
            <v>3</v>
          </cell>
        </row>
        <row r="70">
          <cell r="A70">
            <v>7509621</v>
          </cell>
          <cell r="B70">
            <v>87729</v>
          </cell>
          <cell r="C70" t="str">
            <v>Karen Short</v>
          </cell>
          <cell r="D70" t="str">
            <v>Portsmouth</v>
          </cell>
          <cell r="E70" t="str">
            <v>England</v>
          </cell>
          <cell r="F70" t="str">
            <v>UK</v>
          </cell>
          <cell r="G70">
            <v>25</v>
          </cell>
          <cell r="H70">
            <v>25</v>
          </cell>
          <cell r="I70" t="str">
            <v>Female</v>
          </cell>
          <cell r="J70" t="str">
            <v>Female</v>
          </cell>
          <cell r="K70" t="str">
            <v>Medium</v>
          </cell>
          <cell r="L70" t="str">
            <v>Regular</v>
          </cell>
          <cell r="M70">
            <v>45272</v>
          </cell>
          <cell r="N70">
            <v>4</v>
          </cell>
          <cell r="O70">
            <v>4</v>
          </cell>
          <cell r="P70">
            <v>245.18673340000001</v>
          </cell>
          <cell r="Q70">
            <v>980.7469337</v>
          </cell>
          <cell r="R70" t="str">
            <v>Clothing</v>
          </cell>
          <cell r="S70" t="str">
            <v>Clothing</v>
          </cell>
          <cell r="T70" t="str">
            <v>Shirt</v>
          </cell>
          <cell r="U70" t="str">
            <v>Clothing</v>
          </cell>
          <cell r="V70" t="str">
            <v>Good</v>
          </cell>
          <cell r="W70" t="str">
            <v>Good</v>
          </cell>
          <cell r="X70" t="str">
            <v>Standard</v>
          </cell>
          <cell r="Y70">
            <v>4</v>
          </cell>
          <cell r="Z70">
            <v>4</v>
          </cell>
        </row>
        <row r="71">
          <cell r="A71">
            <v>7734668</v>
          </cell>
          <cell r="B71">
            <v>49952</v>
          </cell>
          <cell r="C71" t="str">
            <v>Joseph Pearson</v>
          </cell>
          <cell r="D71" t="str">
            <v>Portsmouth</v>
          </cell>
          <cell r="E71" t="str">
            <v>England</v>
          </cell>
          <cell r="F71" t="str">
            <v>UK</v>
          </cell>
          <cell r="G71">
            <v>26</v>
          </cell>
          <cell r="H71">
            <v>26</v>
          </cell>
          <cell r="I71" t="str">
            <v>Female</v>
          </cell>
          <cell r="J71" t="str">
            <v>Female</v>
          </cell>
          <cell r="K71" t="str">
            <v>Medium</v>
          </cell>
          <cell r="L71" t="str">
            <v>Regular</v>
          </cell>
          <cell r="M71">
            <v>45052</v>
          </cell>
          <cell r="N71">
            <v>10</v>
          </cell>
          <cell r="O71">
            <v>10</v>
          </cell>
          <cell r="P71">
            <v>59.261818400000003</v>
          </cell>
          <cell r="Q71">
            <v>592.61818400000004</v>
          </cell>
          <cell r="R71" t="str">
            <v>Books</v>
          </cell>
          <cell r="S71" t="str">
            <v>Books</v>
          </cell>
          <cell r="T71" t="str">
            <v>Non-Fiction</v>
          </cell>
          <cell r="U71" t="str">
            <v>Books</v>
          </cell>
          <cell r="V71" t="str">
            <v>Bad</v>
          </cell>
          <cell r="W71" t="str">
            <v>Bad</v>
          </cell>
          <cell r="X71" t="str">
            <v>Same-Day</v>
          </cell>
          <cell r="Y71">
            <v>1</v>
          </cell>
          <cell r="Z71">
            <v>1</v>
          </cell>
        </row>
        <row r="72">
          <cell r="A72">
            <v>9845803</v>
          </cell>
          <cell r="B72">
            <v>79052</v>
          </cell>
          <cell r="C72" t="str">
            <v>Richard Hodge</v>
          </cell>
          <cell r="D72" t="str">
            <v>Portsmouth</v>
          </cell>
          <cell r="E72" t="str">
            <v>England</v>
          </cell>
          <cell r="F72" t="str">
            <v>UK</v>
          </cell>
          <cell r="G72">
            <v>57</v>
          </cell>
          <cell r="H72">
            <v>57</v>
          </cell>
          <cell r="I72" t="str">
            <v>Female</v>
          </cell>
          <cell r="J72" t="str">
            <v>Female</v>
          </cell>
          <cell r="K72" t="str">
            <v>High</v>
          </cell>
          <cell r="L72" t="str">
            <v>Regular</v>
          </cell>
          <cell r="M72">
            <v>45244</v>
          </cell>
          <cell r="N72">
            <v>7</v>
          </cell>
          <cell r="O72">
            <v>7</v>
          </cell>
          <cell r="P72">
            <v>139.8812925</v>
          </cell>
          <cell r="Q72">
            <v>979.16904739999995</v>
          </cell>
          <cell r="R72" t="str">
            <v>Grocery</v>
          </cell>
          <cell r="S72" t="str">
            <v>Grocery</v>
          </cell>
          <cell r="T72" t="str">
            <v>Soft Drink</v>
          </cell>
          <cell r="U72" t="str">
            <v>Grocery</v>
          </cell>
          <cell r="V72" t="str">
            <v>Excellent</v>
          </cell>
          <cell r="W72" t="str">
            <v>Excellent</v>
          </cell>
          <cell r="X72" t="str">
            <v>Standard</v>
          </cell>
          <cell r="Y72">
            <v>4</v>
          </cell>
          <cell r="Z72">
            <v>4</v>
          </cell>
        </row>
        <row r="73">
          <cell r="A73">
            <v>9634627</v>
          </cell>
          <cell r="B73">
            <v>90837</v>
          </cell>
          <cell r="C73" t="str">
            <v>Charles Rogers</v>
          </cell>
          <cell r="D73" t="str">
            <v>Portsmouth</v>
          </cell>
          <cell r="E73" t="str">
            <v>England</v>
          </cell>
          <cell r="F73" t="str">
            <v>UK</v>
          </cell>
          <cell r="G73">
            <v>70</v>
          </cell>
          <cell r="H73">
            <v>70</v>
          </cell>
          <cell r="I73" t="str">
            <v>Male</v>
          </cell>
          <cell r="J73" t="str">
            <v>Male</v>
          </cell>
          <cell r="K73" t="str">
            <v>Low</v>
          </cell>
          <cell r="L73" t="str">
            <v>Regular</v>
          </cell>
          <cell r="M73">
            <v>45328</v>
          </cell>
          <cell r="N73">
            <v>8</v>
          </cell>
          <cell r="O73">
            <v>8</v>
          </cell>
          <cell r="P73">
            <v>436.74937499999999</v>
          </cell>
          <cell r="Q73">
            <v>3493.9949999999999</v>
          </cell>
          <cell r="R73" t="str">
            <v>Electronics</v>
          </cell>
          <cell r="S73" t="str">
            <v>Electronics</v>
          </cell>
          <cell r="T73" t="str">
            <v>Tablet</v>
          </cell>
          <cell r="U73" t="str">
            <v>Electronics</v>
          </cell>
          <cell r="V73" t="str">
            <v>Average</v>
          </cell>
          <cell r="W73" t="str">
            <v>Average</v>
          </cell>
          <cell r="X73" t="str">
            <v>Express</v>
          </cell>
          <cell r="Y73">
            <v>2</v>
          </cell>
          <cell r="Z73">
            <v>2</v>
          </cell>
        </row>
        <row r="74">
          <cell r="A74">
            <v>9534452</v>
          </cell>
          <cell r="B74">
            <v>20500</v>
          </cell>
          <cell r="C74" t="str">
            <v>Matthew Hicks</v>
          </cell>
          <cell r="D74" t="str">
            <v>Portsmouth</v>
          </cell>
          <cell r="E74" t="str">
            <v>England</v>
          </cell>
          <cell r="F74" t="str">
            <v>UK</v>
          </cell>
          <cell r="G74">
            <v>61</v>
          </cell>
          <cell r="H74">
            <v>61</v>
          </cell>
          <cell r="I74" t="str">
            <v>Female</v>
          </cell>
          <cell r="J74" t="str">
            <v>Female</v>
          </cell>
          <cell r="K74" t="str">
            <v>Medium</v>
          </cell>
          <cell r="L74" t="str">
            <v>Regular</v>
          </cell>
          <cell r="M74">
            <v>45083</v>
          </cell>
          <cell r="N74">
            <v>4</v>
          </cell>
          <cell r="O74">
            <v>4</v>
          </cell>
          <cell r="P74">
            <v>201.95373480000001</v>
          </cell>
          <cell r="Q74">
            <v>807.81493920000003</v>
          </cell>
          <cell r="R74" t="str">
            <v>Clothing</v>
          </cell>
          <cell r="S74" t="str">
            <v>Clothing</v>
          </cell>
          <cell r="T74" t="str">
            <v>Dress</v>
          </cell>
          <cell r="U74" t="str">
            <v>Clothing</v>
          </cell>
          <cell r="V74" t="str">
            <v>Average</v>
          </cell>
          <cell r="W74" t="str">
            <v>Average</v>
          </cell>
          <cell r="X74" t="str">
            <v>Standard</v>
          </cell>
          <cell r="Y74">
            <v>2</v>
          </cell>
          <cell r="Z74">
            <v>2</v>
          </cell>
        </row>
        <row r="75">
          <cell r="A75">
            <v>6126111</v>
          </cell>
          <cell r="B75">
            <v>63629</v>
          </cell>
          <cell r="C75" t="str">
            <v>Mary Lawson</v>
          </cell>
          <cell r="D75" t="str">
            <v>Portsmouth</v>
          </cell>
          <cell r="E75" t="str">
            <v>England</v>
          </cell>
          <cell r="F75" t="str">
            <v>UK</v>
          </cell>
          <cell r="G75">
            <v>37</v>
          </cell>
          <cell r="H75">
            <v>37</v>
          </cell>
          <cell r="I75" t="str">
            <v>Female</v>
          </cell>
          <cell r="J75" t="str">
            <v>Female</v>
          </cell>
          <cell r="K75" t="str">
            <v>Low</v>
          </cell>
          <cell r="L75" t="str">
            <v>Regular</v>
          </cell>
          <cell r="M75">
            <v>45008</v>
          </cell>
          <cell r="N75">
            <v>9</v>
          </cell>
          <cell r="O75">
            <v>9</v>
          </cell>
          <cell r="P75">
            <v>202.60930110000001</v>
          </cell>
          <cell r="Q75">
            <v>1823.48371</v>
          </cell>
          <cell r="R75" t="str">
            <v>Electronics</v>
          </cell>
          <cell r="S75" t="str">
            <v>Electronics</v>
          </cell>
          <cell r="T75" t="str">
            <v>Laptop</v>
          </cell>
          <cell r="U75" t="str">
            <v>Electronics</v>
          </cell>
          <cell r="V75" t="str">
            <v>Bad</v>
          </cell>
          <cell r="W75" t="str">
            <v>Bad</v>
          </cell>
          <cell r="X75" t="str">
            <v>Same-Day</v>
          </cell>
          <cell r="Y75">
            <v>1</v>
          </cell>
          <cell r="Z75">
            <v>1</v>
          </cell>
        </row>
        <row r="76">
          <cell r="A76">
            <v>9510333</v>
          </cell>
          <cell r="B76">
            <v>71053</v>
          </cell>
          <cell r="C76" t="str">
            <v>Suzanne Thompson</v>
          </cell>
          <cell r="D76" t="str">
            <v>Portsmouth</v>
          </cell>
          <cell r="E76" t="str">
            <v>England</v>
          </cell>
          <cell r="F76" t="str">
            <v>UK</v>
          </cell>
          <cell r="G76">
            <v>34</v>
          </cell>
          <cell r="H76">
            <v>34</v>
          </cell>
          <cell r="I76" t="str">
            <v>Female</v>
          </cell>
          <cell r="J76" t="str">
            <v>Female</v>
          </cell>
          <cell r="K76" t="str">
            <v>Medium</v>
          </cell>
          <cell r="L76" t="str">
            <v>Regular</v>
          </cell>
          <cell r="M76">
            <v>45024</v>
          </cell>
          <cell r="N76">
            <v>7</v>
          </cell>
          <cell r="O76">
            <v>7</v>
          </cell>
          <cell r="P76">
            <v>405.99011150000001</v>
          </cell>
          <cell r="Q76">
            <v>2841.930781</v>
          </cell>
          <cell r="R76" t="str">
            <v>Home Decor</v>
          </cell>
          <cell r="S76" t="str">
            <v>Home Decor</v>
          </cell>
          <cell r="T76" t="str">
            <v>Kitchen</v>
          </cell>
          <cell r="U76" t="str">
            <v>Home Decor</v>
          </cell>
          <cell r="V76" t="str">
            <v>Excellent</v>
          </cell>
          <cell r="W76" t="str">
            <v>Excellent</v>
          </cell>
          <cell r="X76" t="str">
            <v>Express</v>
          </cell>
          <cell r="Y76">
            <v>5</v>
          </cell>
          <cell r="Z76">
            <v>5</v>
          </cell>
        </row>
        <row r="77">
          <cell r="A77">
            <v>7478681</v>
          </cell>
          <cell r="B77">
            <v>73823</v>
          </cell>
          <cell r="C77" t="str">
            <v>Sarah Chase</v>
          </cell>
          <cell r="D77" t="str">
            <v>Portsmouth</v>
          </cell>
          <cell r="E77" t="str">
            <v>England</v>
          </cell>
          <cell r="F77" t="str">
            <v>UK</v>
          </cell>
          <cell r="G77">
            <v>19</v>
          </cell>
          <cell r="H77">
            <v>19</v>
          </cell>
          <cell r="I77" t="str">
            <v>Female</v>
          </cell>
          <cell r="J77" t="str">
            <v>Female</v>
          </cell>
          <cell r="K77" t="str">
            <v>Medium</v>
          </cell>
          <cell r="L77" t="str">
            <v>Regular</v>
          </cell>
          <cell r="M77">
            <v>45253</v>
          </cell>
          <cell r="N77">
            <v>1</v>
          </cell>
          <cell r="O77">
            <v>1</v>
          </cell>
          <cell r="P77">
            <v>249.61483419999999</v>
          </cell>
          <cell r="Q77">
            <v>249.61483419999999</v>
          </cell>
          <cell r="R77" t="str">
            <v>Grocery</v>
          </cell>
          <cell r="S77" t="str">
            <v>Grocery</v>
          </cell>
          <cell r="T77" t="str">
            <v>Juice</v>
          </cell>
          <cell r="U77" t="str">
            <v>Grocery</v>
          </cell>
          <cell r="V77" t="str">
            <v>Excellent</v>
          </cell>
          <cell r="W77" t="str">
            <v>Excellent</v>
          </cell>
          <cell r="X77" t="str">
            <v>Same-Day</v>
          </cell>
          <cell r="Y77">
            <v>5</v>
          </cell>
          <cell r="Z77">
            <v>5</v>
          </cell>
        </row>
        <row r="78">
          <cell r="A78">
            <v>5696111</v>
          </cell>
          <cell r="B78">
            <v>28956</v>
          </cell>
          <cell r="C78" t="str">
            <v>Christopher Adams</v>
          </cell>
          <cell r="D78" t="str">
            <v>Portsmouth</v>
          </cell>
          <cell r="E78" t="str">
            <v>England</v>
          </cell>
          <cell r="F78" t="str">
            <v>UK</v>
          </cell>
          <cell r="G78">
            <v>43</v>
          </cell>
          <cell r="H78">
            <v>43</v>
          </cell>
          <cell r="I78" t="str">
            <v>Female</v>
          </cell>
          <cell r="J78" t="str">
            <v>Female</v>
          </cell>
          <cell r="K78" t="str">
            <v>Low</v>
          </cell>
          <cell r="L78" t="str">
            <v>Regular</v>
          </cell>
          <cell r="M78">
            <v>45156</v>
          </cell>
          <cell r="N78">
            <v>3</v>
          </cell>
          <cell r="O78">
            <v>3</v>
          </cell>
          <cell r="P78">
            <v>413.76251100000002</v>
          </cell>
          <cell r="Q78">
            <v>1241.2875329999999</v>
          </cell>
          <cell r="R78" t="str">
            <v>Books</v>
          </cell>
          <cell r="S78" t="str">
            <v>Books</v>
          </cell>
          <cell r="T78" t="str">
            <v>Thriller</v>
          </cell>
          <cell r="U78" t="str">
            <v>Books</v>
          </cell>
          <cell r="V78" t="str">
            <v>Good</v>
          </cell>
          <cell r="W78" t="str">
            <v>Good</v>
          </cell>
          <cell r="X78" t="str">
            <v>Express</v>
          </cell>
          <cell r="Y78">
            <v>4</v>
          </cell>
          <cell r="Z78">
            <v>4</v>
          </cell>
        </row>
        <row r="79">
          <cell r="A79">
            <v>4419654</v>
          </cell>
          <cell r="B79">
            <v>21444</v>
          </cell>
          <cell r="C79" t="str">
            <v>Robert Perez</v>
          </cell>
          <cell r="D79" t="str">
            <v>Portsmouth</v>
          </cell>
          <cell r="E79" t="str">
            <v>England</v>
          </cell>
          <cell r="F79" t="str">
            <v>UK</v>
          </cell>
          <cell r="G79">
            <v>30</v>
          </cell>
          <cell r="H79">
            <v>30</v>
          </cell>
          <cell r="I79" t="str">
            <v>Male</v>
          </cell>
          <cell r="J79" t="str">
            <v>Male</v>
          </cell>
          <cell r="K79" t="str">
            <v>Medium</v>
          </cell>
          <cell r="L79" t="str">
            <v>Regular</v>
          </cell>
          <cell r="M79">
            <v>45229</v>
          </cell>
          <cell r="N79">
            <v>4</v>
          </cell>
          <cell r="O79">
            <v>4</v>
          </cell>
          <cell r="P79">
            <v>312.4280564</v>
          </cell>
          <cell r="Q79">
            <v>1249.7122260000001</v>
          </cell>
          <cell r="R79" t="str">
            <v>Home Decor</v>
          </cell>
          <cell r="S79" t="str">
            <v>Home Decor</v>
          </cell>
          <cell r="T79" t="str">
            <v>Bedding</v>
          </cell>
          <cell r="U79" t="str">
            <v>Home Decor</v>
          </cell>
          <cell r="V79" t="str">
            <v>Bad</v>
          </cell>
          <cell r="W79" t="str">
            <v>Bad</v>
          </cell>
          <cell r="X79" t="str">
            <v>Express</v>
          </cell>
          <cell r="Y79">
            <v>1</v>
          </cell>
          <cell r="Z79">
            <v>1</v>
          </cell>
        </row>
        <row r="80">
          <cell r="A80">
            <v>4440264</v>
          </cell>
          <cell r="B80">
            <v>68648</v>
          </cell>
          <cell r="C80" t="str">
            <v>Dennis Johnson</v>
          </cell>
          <cell r="D80" t="str">
            <v>Portsmouth</v>
          </cell>
          <cell r="E80" t="str">
            <v>England</v>
          </cell>
          <cell r="F80" t="str">
            <v>UK</v>
          </cell>
          <cell r="G80">
            <v>35</v>
          </cell>
          <cell r="H80">
            <v>35</v>
          </cell>
          <cell r="I80" t="str">
            <v>Male</v>
          </cell>
          <cell r="J80" t="str">
            <v>Male</v>
          </cell>
          <cell r="K80" t="str">
            <v>Low</v>
          </cell>
          <cell r="L80" t="str">
            <v>Regular</v>
          </cell>
          <cell r="M80">
            <v>44989</v>
          </cell>
          <cell r="N80">
            <v>6</v>
          </cell>
          <cell r="O80">
            <v>6</v>
          </cell>
          <cell r="P80">
            <v>37.40545462</v>
          </cell>
          <cell r="Q80">
            <v>224.43272769999999</v>
          </cell>
          <cell r="R80" t="str">
            <v>Home Decor</v>
          </cell>
          <cell r="S80" t="str">
            <v>Home Decor</v>
          </cell>
          <cell r="T80" t="str">
            <v>Bathroom</v>
          </cell>
          <cell r="U80" t="str">
            <v>Home Decor</v>
          </cell>
          <cell r="V80" t="str">
            <v>Average</v>
          </cell>
          <cell r="W80" t="str">
            <v>Average</v>
          </cell>
          <cell r="X80" t="str">
            <v>Same-Day</v>
          </cell>
          <cell r="Y80">
            <v>2</v>
          </cell>
          <cell r="Z80">
            <v>2</v>
          </cell>
        </row>
        <row r="81">
          <cell r="A81">
            <v>9711181</v>
          </cell>
          <cell r="B81">
            <v>50100</v>
          </cell>
          <cell r="C81" t="str">
            <v>Penny Harris</v>
          </cell>
          <cell r="D81" t="str">
            <v>Portsmouth</v>
          </cell>
          <cell r="E81" t="str">
            <v>England</v>
          </cell>
          <cell r="F81" t="str">
            <v>UK</v>
          </cell>
          <cell r="G81">
            <v>54</v>
          </cell>
          <cell r="H81">
            <v>54</v>
          </cell>
          <cell r="I81" t="str">
            <v>Female</v>
          </cell>
          <cell r="J81" t="str">
            <v>Female</v>
          </cell>
          <cell r="K81" t="str">
            <v>Low</v>
          </cell>
          <cell r="L81" t="str">
            <v>Regular</v>
          </cell>
          <cell r="M81">
            <v>45304</v>
          </cell>
          <cell r="N81">
            <v>3</v>
          </cell>
          <cell r="O81">
            <v>3</v>
          </cell>
          <cell r="P81">
            <v>279.5816873</v>
          </cell>
          <cell r="Q81">
            <v>838.7450619</v>
          </cell>
          <cell r="R81" t="str">
            <v>Electronics</v>
          </cell>
          <cell r="S81" t="str">
            <v>Electronics</v>
          </cell>
          <cell r="T81" t="str">
            <v>Smartphone</v>
          </cell>
          <cell r="U81" t="str">
            <v>Electronics</v>
          </cell>
          <cell r="V81" t="str">
            <v>Good</v>
          </cell>
          <cell r="W81" t="str">
            <v>Good</v>
          </cell>
          <cell r="X81" t="str">
            <v>Same-Day</v>
          </cell>
          <cell r="Y81">
            <v>4</v>
          </cell>
          <cell r="Z81">
            <v>4</v>
          </cell>
        </row>
        <row r="82">
          <cell r="A82">
            <v>7757654</v>
          </cell>
          <cell r="B82">
            <v>65961</v>
          </cell>
          <cell r="C82" t="str">
            <v>Erik Medina</v>
          </cell>
          <cell r="D82" t="str">
            <v>Portsmouth</v>
          </cell>
          <cell r="E82" t="str">
            <v>England</v>
          </cell>
          <cell r="F82" t="str">
            <v>UK</v>
          </cell>
          <cell r="G82">
            <v>39</v>
          </cell>
          <cell r="H82">
            <v>39</v>
          </cell>
          <cell r="I82" t="str">
            <v>Male</v>
          </cell>
          <cell r="J82" t="str">
            <v>Male</v>
          </cell>
          <cell r="K82" t="str">
            <v>High</v>
          </cell>
          <cell r="L82" t="str">
            <v>Regular</v>
          </cell>
          <cell r="M82">
            <v>45129</v>
          </cell>
          <cell r="N82">
            <v>8</v>
          </cell>
          <cell r="O82">
            <v>8</v>
          </cell>
          <cell r="P82">
            <v>51.516267659999997</v>
          </cell>
          <cell r="Q82">
            <v>412.13014129999999</v>
          </cell>
          <cell r="R82" t="str">
            <v>Electronics</v>
          </cell>
          <cell r="S82" t="str">
            <v>Electronics</v>
          </cell>
          <cell r="T82" t="str">
            <v>Television</v>
          </cell>
          <cell r="U82" t="str">
            <v>Electronics</v>
          </cell>
          <cell r="V82" t="str">
            <v>Average</v>
          </cell>
          <cell r="W82" t="str">
            <v>Average</v>
          </cell>
          <cell r="X82" t="str">
            <v>Standard</v>
          </cell>
          <cell r="Y82">
            <v>2</v>
          </cell>
          <cell r="Z82">
            <v>2</v>
          </cell>
        </row>
        <row r="83">
          <cell r="A83">
            <v>3381958</v>
          </cell>
          <cell r="B83">
            <v>70067</v>
          </cell>
          <cell r="C83" t="str">
            <v>Ashley Adams</v>
          </cell>
          <cell r="D83" t="str">
            <v>Portsmouth</v>
          </cell>
          <cell r="E83" t="str">
            <v>England</v>
          </cell>
          <cell r="F83" t="str">
            <v>UK</v>
          </cell>
          <cell r="G83">
            <v>56</v>
          </cell>
          <cell r="H83">
            <v>56</v>
          </cell>
          <cell r="I83" t="str">
            <v>Male</v>
          </cell>
          <cell r="J83" t="str">
            <v>Male</v>
          </cell>
          <cell r="K83" t="str">
            <v>High</v>
          </cell>
          <cell r="L83" t="str">
            <v>Regular</v>
          </cell>
          <cell r="M83">
            <v>45126</v>
          </cell>
          <cell r="N83">
            <v>8</v>
          </cell>
          <cell r="O83">
            <v>8</v>
          </cell>
          <cell r="P83">
            <v>364.5142093</v>
          </cell>
          <cell r="Q83">
            <v>2916.1136750000001</v>
          </cell>
          <cell r="R83" t="str">
            <v>Electronics</v>
          </cell>
          <cell r="S83" t="str">
            <v>Electronics</v>
          </cell>
          <cell r="T83" t="str">
            <v>Headphones</v>
          </cell>
          <cell r="U83" t="str">
            <v>Electronics</v>
          </cell>
          <cell r="V83" t="str">
            <v>Average</v>
          </cell>
          <cell r="W83" t="str">
            <v>Average</v>
          </cell>
          <cell r="X83" t="str">
            <v>Express</v>
          </cell>
          <cell r="Y83">
            <v>2</v>
          </cell>
          <cell r="Z83">
            <v>2</v>
          </cell>
        </row>
        <row r="84">
          <cell r="A84">
            <v>5961798</v>
          </cell>
          <cell r="B84">
            <v>31581</v>
          </cell>
          <cell r="C84" t="str">
            <v>Meredith James</v>
          </cell>
          <cell r="D84" t="str">
            <v>Portsmouth</v>
          </cell>
          <cell r="E84" t="str">
            <v>England</v>
          </cell>
          <cell r="F84" t="str">
            <v>UK</v>
          </cell>
          <cell r="G84">
            <v>25</v>
          </cell>
          <cell r="H84">
            <v>25</v>
          </cell>
          <cell r="I84" t="str">
            <v>Female</v>
          </cell>
          <cell r="J84" t="str">
            <v>Female</v>
          </cell>
          <cell r="K84" t="str">
            <v>Low</v>
          </cell>
          <cell r="L84" t="str">
            <v>Regular</v>
          </cell>
          <cell r="M84">
            <v>44987</v>
          </cell>
          <cell r="N84">
            <v>6</v>
          </cell>
          <cell r="O84">
            <v>6</v>
          </cell>
          <cell r="P84">
            <v>72.861682630000004</v>
          </cell>
          <cell r="Q84">
            <v>437.17009580000001</v>
          </cell>
          <cell r="R84" t="str">
            <v>Clothing</v>
          </cell>
          <cell r="S84" t="str">
            <v>Clothing</v>
          </cell>
          <cell r="T84" t="str">
            <v>Shirt</v>
          </cell>
          <cell r="U84" t="str">
            <v>Clothing</v>
          </cell>
          <cell r="V84" t="str">
            <v>Good</v>
          </cell>
          <cell r="W84" t="str">
            <v>Good</v>
          </cell>
          <cell r="X84" t="str">
            <v>Same-Day</v>
          </cell>
          <cell r="Y84">
            <v>3</v>
          </cell>
          <cell r="Z84">
            <v>3</v>
          </cell>
        </row>
        <row r="85">
          <cell r="A85">
            <v>8164996</v>
          </cell>
          <cell r="B85">
            <v>12604</v>
          </cell>
          <cell r="C85" t="str">
            <v>Derek Patrick</v>
          </cell>
          <cell r="D85" t="str">
            <v>Portsmouth</v>
          </cell>
          <cell r="E85" t="str">
            <v>England</v>
          </cell>
          <cell r="F85" t="str">
            <v>UK</v>
          </cell>
          <cell r="G85">
            <v>47</v>
          </cell>
          <cell r="H85">
            <v>47</v>
          </cell>
          <cell r="I85" t="str">
            <v>Male</v>
          </cell>
          <cell r="J85" t="str">
            <v>Male</v>
          </cell>
          <cell r="K85" t="str">
            <v>Low</v>
          </cell>
          <cell r="L85" t="str">
            <v>Regular</v>
          </cell>
          <cell r="M85">
            <v>45266</v>
          </cell>
          <cell r="N85">
            <v>6</v>
          </cell>
          <cell r="O85">
            <v>6</v>
          </cell>
          <cell r="P85">
            <v>159.71959659999999</v>
          </cell>
          <cell r="Q85">
            <v>958.31757960000004</v>
          </cell>
          <cell r="R85" t="str">
            <v>Grocery</v>
          </cell>
          <cell r="S85" t="str">
            <v>Grocery</v>
          </cell>
          <cell r="T85" t="str">
            <v>Water</v>
          </cell>
          <cell r="U85" t="str">
            <v>Grocery</v>
          </cell>
          <cell r="V85" t="str">
            <v>Average</v>
          </cell>
          <cell r="W85" t="str">
            <v>Average</v>
          </cell>
          <cell r="X85" t="str">
            <v>Standard</v>
          </cell>
          <cell r="Y85">
            <v>2</v>
          </cell>
          <cell r="Z85">
            <v>2</v>
          </cell>
        </row>
        <row r="86">
          <cell r="A86">
            <v>6573179</v>
          </cell>
          <cell r="B86">
            <v>55594</v>
          </cell>
          <cell r="C86" t="str">
            <v>Tara Hawkins</v>
          </cell>
          <cell r="D86" t="str">
            <v>Portsmouth</v>
          </cell>
          <cell r="E86" t="str">
            <v>England</v>
          </cell>
          <cell r="F86" t="str">
            <v>UK</v>
          </cell>
          <cell r="G86">
            <v>41</v>
          </cell>
          <cell r="H86">
            <v>41</v>
          </cell>
          <cell r="I86" t="str">
            <v>Male</v>
          </cell>
          <cell r="J86" t="str">
            <v>Male</v>
          </cell>
          <cell r="K86" t="str">
            <v>Low</v>
          </cell>
          <cell r="L86" t="str">
            <v>Regular</v>
          </cell>
          <cell r="M86">
            <v>45243</v>
          </cell>
          <cell r="N86">
            <v>6</v>
          </cell>
          <cell r="O86">
            <v>6</v>
          </cell>
          <cell r="P86">
            <v>422.38726059999999</v>
          </cell>
          <cell r="Q86">
            <v>2534.3235629999999</v>
          </cell>
          <cell r="R86" t="str">
            <v>Clothing</v>
          </cell>
          <cell r="S86" t="str">
            <v>Clothing</v>
          </cell>
          <cell r="T86" t="str">
            <v>Jacket</v>
          </cell>
          <cell r="U86" t="str">
            <v>Clothing</v>
          </cell>
          <cell r="V86" t="str">
            <v>Excellent</v>
          </cell>
          <cell r="W86" t="str">
            <v>Excellent</v>
          </cell>
          <cell r="X86" t="str">
            <v>Express</v>
          </cell>
          <cell r="Y86">
            <v>5</v>
          </cell>
          <cell r="Z86">
            <v>5</v>
          </cell>
        </row>
        <row r="87">
          <cell r="A87">
            <v>6650415</v>
          </cell>
          <cell r="B87">
            <v>98788</v>
          </cell>
          <cell r="C87" t="str">
            <v>Zachary Smith</v>
          </cell>
          <cell r="D87" t="str">
            <v>Portsmouth</v>
          </cell>
          <cell r="E87" t="str">
            <v>England</v>
          </cell>
          <cell r="F87" t="str">
            <v>UK</v>
          </cell>
          <cell r="G87">
            <v>29</v>
          </cell>
          <cell r="H87">
            <v>29</v>
          </cell>
          <cell r="I87" t="str">
            <v>Male</v>
          </cell>
          <cell r="J87" t="str">
            <v>Male</v>
          </cell>
          <cell r="K87" t="str">
            <v>Medium</v>
          </cell>
          <cell r="L87" t="str">
            <v>Regular</v>
          </cell>
          <cell r="M87">
            <v>45172</v>
          </cell>
          <cell r="N87">
            <v>10</v>
          </cell>
          <cell r="O87">
            <v>10</v>
          </cell>
          <cell r="P87">
            <v>147.88453580000001</v>
          </cell>
          <cell r="Q87">
            <v>1478.845358</v>
          </cell>
          <cell r="R87" t="str">
            <v>Books</v>
          </cell>
          <cell r="S87" t="str">
            <v>Books</v>
          </cell>
          <cell r="T87" t="str">
            <v>Fiction</v>
          </cell>
          <cell r="U87" t="str">
            <v>Books</v>
          </cell>
          <cell r="V87" t="str">
            <v>Average</v>
          </cell>
          <cell r="W87" t="str">
            <v>Average</v>
          </cell>
          <cell r="X87" t="str">
            <v>Same-Day</v>
          </cell>
          <cell r="Y87">
            <v>2</v>
          </cell>
          <cell r="Z87">
            <v>2</v>
          </cell>
        </row>
        <row r="88">
          <cell r="A88">
            <v>3101006</v>
          </cell>
          <cell r="B88">
            <v>59411</v>
          </cell>
          <cell r="C88" t="str">
            <v>Daniel Thompson</v>
          </cell>
          <cell r="D88" t="str">
            <v>Portsmouth</v>
          </cell>
          <cell r="E88" t="str">
            <v>England</v>
          </cell>
          <cell r="F88" t="str">
            <v>UK</v>
          </cell>
          <cell r="G88">
            <v>61</v>
          </cell>
          <cell r="H88">
            <v>61</v>
          </cell>
          <cell r="I88" t="str">
            <v>Male</v>
          </cell>
          <cell r="J88" t="str">
            <v>Male</v>
          </cell>
          <cell r="K88" t="str">
            <v>Low</v>
          </cell>
          <cell r="L88" t="str">
            <v>Regular</v>
          </cell>
          <cell r="M88">
            <v>45231</v>
          </cell>
          <cell r="N88">
            <v>10</v>
          </cell>
          <cell r="O88">
            <v>10</v>
          </cell>
          <cell r="P88">
            <v>55.057465299999997</v>
          </cell>
          <cell r="Q88">
            <v>550.57465300000001</v>
          </cell>
          <cell r="R88" t="str">
            <v>Electronics</v>
          </cell>
          <cell r="S88" t="str">
            <v>Electronics</v>
          </cell>
          <cell r="T88" t="str">
            <v>Laptop</v>
          </cell>
          <cell r="U88" t="str">
            <v>Electronics</v>
          </cell>
          <cell r="V88" t="str">
            <v>Average</v>
          </cell>
          <cell r="W88" t="str">
            <v>Average</v>
          </cell>
          <cell r="X88" t="str">
            <v>Same-Day</v>
          </cell>
          <cell r="Y88">
            <v>2</v>
          </cell>
          <cell r="Z88">
            <v>2</v>
          </cell>
        </row>
        <row r="89">
          <cell r="A89">
            <v>3892971</v>
          </cell>
          <cell r="B89">
            <v>67690</v>
          </cell>
          <cell r="C89" t="str">
            <v>Mark Lee</v>
          </cell>
          <cell r="D89" t="str">
            <v>Portsmouth</v>
          </cell>
          <cell r="E89" t="str">
            <v>England</v>
          </cell>
          <cell r="F89" t="str">
            <v>UK</v>
          </cell>
          <cell r="G89">
            <v>35</v>
          </cell>
          <cell r="H89">
            <v>35</v>
          </cell>
          <cell r="I89" t="str">
            <v>Female</v>
          </cell>
          <cell r="J89" t="str">
            <v>Female</v>
          </cell>
          <cell r="K89" t="str">
            <v>Medium</v>
          </cell>
          <cell r="L89" t="str">
            <v>Regular</v>
          </cell>
          <cell r="M89">
            <v>45020</v>
          </cell>
          <cell r="N89">
            <v>1</v>
          </cell>
          <cell r="O89">
            <v>1</v>
          </cell>
          <cell r="P89">
            <v>426.65134169999999</v>
          </cell>
          <cell r="Q89">
            <v>426.65134169999999</v>
          </cell>
          <cell r="R89" t="str">
            <v>Books</v>
          </cell>
          <cell r="S89" t="str">
            <v>Books</v>
          </cell>
          <cell r="T89" t="str">
            <v>Fiction</v>
          </cell>
          <cell r="U89" t="str">
            <v>Books</v>
          </cell>
          <cell r="V89" t="str">
            <v>Excellent</v>
          </cell>
          <cell r="W89" t="str">
            <v>Excellent</v>
          </cell>
          <cell r="X89" t="str">
            <v>Standard</v>
          </cell>
          <cell r="Y89">
            <v>5</v>
          </cell>
          <cell r="Z89">
            <v>5</v>
          </cell>
        </row>
        <row r="90">
          <cell r="A90">
            <v>1198092</v>
          </cell>
          <cell r="B90">
            <v>96720</v>
          </cell>
          <cell r="C90" t="str">
            <v>Robert Torres</v>
          </cell>
          <cell r="D90" t="str">
            <v>Portsmouth</v>
          </cell>
          <cell r="E90" t="str">
            <v>England</v>
          </cell>
          <cell r="F90" t="str">
            <v>UK</v>
          </cell>
          <cell r="G90">
            <v>59</v>
          </cell>
          <cell r="H90">
            <v>59</v>
          </cell>
          <cell r="I90" t="str">
            <v>Male</v>
          </cell>
          <cell r="J90" t="str">
            <v>Male</v>
          </cell>
          <cell r="K90" t="str">
            <v>Medium</v>
          </cell>
          <cell r="L90" t="str">
            <v>Regular</v>
          </cell>
          <cell r="M90">
            <v>45007</v>
          </cell>
          <cell r="N90">
            <v>9</v>
          </cell>
          <cell r="O90">
            <v>9</v>
          </cell>
          <cell r="P90">
            <v>324.72674719999998</v>
          </cell>
          <cell r="Q90">
            <v>2922.5407249999998</v>
          </cell>
          <cell r="R90" t="str">
            <v>Grocery</v>
          </cell>
          <cell r="S90" t="str">
            <v>Grocery</v>
          </cell>
          <cell r="T90" t="str">
            <v>Snacks</v>
          </cell>
          <cell r="U90" t="str">
            <v>Grocery</v>
          </cell>
          <cell r="V90" t="str">
            <v>Good</v>
          </cell>
          <cell r="W90" t="str">
            <v>Good</v>
          </cell>
          <cell r="X90" t="str">
            <v>Same-Day</v>
          </cell>
          <cell r="Y90">
            <v>3</v>
          </cell>
          <cell r="Z90">
            <v>3</v>
          </cell>
        </row>
        <row r="91">
          <cell r="A91">
            <v>7978896</v>
          </cell>
          <cell r="B91">
            <v>28489</v>
          </cell>
          <cell r="C91" t="str">
            <v>Julia Dodson</v>
          </cell>
          <cell r="D91" t="str">
            <v>Portsmouth</v>
          </cell>
          <cell r="E91" t="str">
            <v>England</v>
          </cell>
          <cell r="F91" t="str">
            <v>UK</v>
          </cell>
          <cell r="G91">
            <v>43</v>
          </cell>
          <cell r="H91">
            <v>43</v>
          </cell>
          <cell r="I91" t="str">
            <v>Male</v>
          </cell>
          <cell r="J91" t="str">
            <v>Male</v>
          </cell>
          <cell r="K91" t="str">
            <v>Medium</v>
          </cell>
          <cell r="L91" t="str">
            <v>Regular</v>
          </cell>
          <cell r="M91">
            <v>45267</v>
          </cell>
          <cell r="N91">
            <v>3</v>
          </cell>
          <cell r="O91">
            <v>3</v>
          </cell>
          <cell r="P91">
            <v>199.82450130000001</v>
          </cell>
          <cell r="Q91">
            <v>599.4735038</v>
          </cell>
          <cell r="R91" t="str">
            <v>Grocery</v>
          </cell>
          <cell r="S91" t="str">
            <v>Grocery</v>
          </cell>
          <cell r="T91" t="str">
            <v>Snacks</v>
          </cell>
          <cell r="U91" t="str">
            <v>Grocery</v>
          </cell>
          <cell r="V91" t="str">
            <v>Bad</v>
          </cell>
          <cell r="W91" t="str">
            <v>Bad</v>
          </cell>
          <cell r="X91" t="str">
            <v>Express</v>
          </cell>
          <cell r="Y91">
            <v>1</v>
          </cell>
          <cell r="Z91">
            <v>1</v>
          </cell>
        </row>
        <row r="92">
          <cell r="A92">
            <v>4615607</v>
          </cell>
          <cell r="B92">
            <v>22945</v>
          </cell>
          <cell r="C92" t="str">
            <v>Jessica Burke</v>
          </cell>
          <cell r="D92" t="str">
            <v>Portsmouth</v>
          </cell>
          <cell r="E92" t="str">
            <v>England</v>
          </cell>
          <cell r="F92" t="str">
            <v>UK</v>
          </cell>
          <cell r="G92">
            <v>26</v>
          </cell>
          <cell r="H92">
            <v>26</v>
          </cell>
          <cell r="I92" t="str">
            <v>Female</v>
          </cell>
          <cell r="J92" t="str">
            <v>Female</v>
          </cell>
          <cell r="K92" t="str">
            <v>Medium</v>
          </cell>
          <cell r="L92" t="str">
            <v>Regular</v>
          </cell>
          <cell r="M92">
            <v>45317</v>
          </cell>
          <cell r="N92">
            <v>9</v>
          </cell>
          <cell r="O92">
            <v>9</v>
          </cell>
          <cell r="P92">
            <v>386.98430380000002</v>
          </cell>
          <cell r="Q92">
            <v>3482.8587339999999</v>
          </cell>
          <cell r="R92" t="str">
            <v>Books</v>
          </cell>
          <cell r="S92" t="str">
            <v>Books</v>
          </cell>
          <cell r="T92" t="str">
            <v>Thriller</v>
          </cell>
          <cell r="U92" t="str">
            <v>Books</v>
          </cell>
          <cell r="V92" t="str">
            <v>Bad</v>
          </cell>
          <cell r="W92" t="str">
            <v>Bad</v>
          </cell>
          <cell r="X92" t="str">
            <v>Express</v>
          </cell>
          <cell r="Y92">
            <v>1</v>
          </cell>
          <cell r="Z92">
            <v>1</v>
          </cell>
        </row>
        <row r="93">
          <cell r="A93">
            <v>6983938</v>
          </cell>
          <cell r="B93">
            <v>15757</v>
          </cell>
          <cell r="C93" t="str">
            <v>Mr. Evan Sutton</v>
          </cell>
          <cell r="D93" t="str">
            <v>Portsmouth</v>
          </cell>
          <cell r="E93" t="str">
            <v>England</v>
          </cell>
          <cell r="F93" t="str">
            <v>UK</v>
          </cell>
          <cell r="G93">
            <v>35</v>
          </cell>
          <cell r="H93">
            <v>35</v>
          </cell>
          <cell r="I93" t="str">
            <v>Male</v>
          </cell>
          <cell r="J93" t="str">
            <v>Male</v>
          </cell>
          <cell r="K93" t="str">
            <v>Medium</v>
          </cell>
          <cell r="L93" t="str">
            <v>Regular</v>
          </cell>
          <cell r="M93">
            <v>45105</v>
          </cell>
          <cell r="N93">
            <v>10</v>
          </cell>
          <cell r="O93">
            <v>10</v>
          </cell>
          <cell r="P93">
            <v>363.48134479999999</v>
          </cell>
          <cell r="Q93">
            <v>3634.8134479999999</v>
          </cell>
          <cell r="R93" t="str">
            <v>Electronics</v>
          </cell>
          <cell r="S93" t="str">
            <v>Electronics</v>
          </cell>
          <cell r="T93" t="str">
            <v>Smartphone</v>
          </cell>
          <cell r="U93" t="str">
            <v>Electronics</v>
          </cell>
          <cell r="V93" t="str">
            <v>Average</v>
          </cell>
          <cell r="W93" t="str">
            <v>Average</v>
          </cell>
          <cell r="X93" t="str">
            <v>Same-Day</v>
          </cell>
          <cell r="Y93">
            <v>2</v>
          </cell>
          <cell r="Z93">
            <v>2</v>
          </cell>
        </row>
        <row r="94">
          <cell r="A94">
            <v>6314125</v>
          </cell>
          <cell r="B94">
            <v>15983</v>
          </cell>
          <cell r="C94" t="str">
            <v>Jamie Thompson</v>
          </cell>
          <cell r="D94" t="str">
            <v>Portsmouth</v>
          </cell>
          <cell r="E94" t="str">
            <v>England</v>
          </cell>
          <cell r="F94" t="str">
            <v>UK</v>
          </cell>
          <cell r="G94">
            <v>48</v>
          </cell>
          <cell r="H94">
            <v>48</v>
          </cell>
          <cell r="I94" t="str">
            <v>Male</v>
          </cell>
          <cell r="J94" t="str">
            <v>Male</v>
          </cell>
          <cell r="K94" t="str">
            <v>Low</v>
          </cell>
          <cell r="L94" t="str">
            <v>Regular</v>
          </cell>
          <cell r="M94">
            <v>45267</v>
          </cell>
          <cell r="N94">
            <v>1</v>
          </cell>
          <cell r="O94">
            <v>1</v>
          </cell>
          <cell r="P94">
            <v>104.8262263</v>
          </cell>
          <cell r="Q94">
            <v>104.8262263</v>
          </cell>
          <cell r="R94" t="str">
            <v>Electronics</v>
          </cell>
          <cell r="S94" t="str">
            <v>Electronics</v>
          </cell>
          <cell r="T94" t="str">
            <v>Smartphone</v>
          </cell>
          <cell r="U94" t="str">
            <v>Electronics</v>
          </cell>
          <cell r="V94" t="str">
            <v>Excellent</v>
          </cell>
          <cell r="W94" t="str">
            <v>Excellent</v>
          </cell>
          <cell r="X94" t="str">
            <v>Same-Day</v>
          </cell>
          <cell r="Y94">
            <v>4</v>
          </cell>
          <cell r="Z94">
            <v>4</v>
          </cell>
        </row>
        <row r="95">
          <cell r="A95">
            <v>1874788</v>
          </cell>
          <cell r="B95">
            <v>74649</v>
          </cell>
          <cell r="C95" t="str">
            <v>Courtney Perry</v>
          </cell>
          <cell r="D95" t="str">
            <v>Portsmouth</v>
          </cell>
          <cell r="E95" t="str">
            <v>England</v>
          </cell>
          <cell r="F95" t="str">
            <v>UK</v>
          </cell>
          <cell r="G95">
            <v>18</v>
          </cell>
          <cell r="H95">
            <v>18</v>
          </cell>
          <cell r="I95" t="str">
            <v>Male</v>
          </cell>
          <cell r="J95" t="str">
            <v>Male</v>
          </cell>
          <cell r="K95" t="str">
            <v>High</v>
          </cell>
          <cell r="L95" t="str">
            <v>Regular</v>
          </cell>
          <cell r="M95">
            <v>45035</v>
          </cell>
          <cell r="N95">
            <v>5</v>
          </cell>
          <cell r="O95">
            <v>5</v>
          </cell>
          <cell r="P95">
            <v>289.11678280000001</v>
          </cell>
          <cell r="Q95">
            <v>1445.583914</v>
          </cell>
          <cell r="R95" t="str">
            <v>Grocery</v>
          </cell>
          <cell r="S95" t="str">
            <v>Grocery</v>
          </cell>
          <cell r="T95" t="str">
            <v>Chocolate</v>
          </cell>
          <cell r="U95" t="str">
            <v>Grocery</v>
          </cell>
          <cell r="V95" t="str">
            <v>Average</v>
          </cell>
          <cell r="W95" t="str">
            <v>Average</v>
          </cell>
          <cell r="X95" t="str">
            <v>Express</v>
          </cell>
          <cell r="Y95">
            <v>2</v>
          </cell>
          <cell r="Z95">
            <v>2</v>
          </cell>
        </row>
        <row r="96">
          <cell r="A96">
            <v>2982163</v>
          </cell>
          <cell r="B96">
            <v>50952</v>
          </cell>
          <cell r="C96" t="str">
            <v>Teresa Maxwell</v>
          </cell>
          <cell r="D96" t="str">
            <v>Portsmouth</v>
          </cell>
          <cell r="E96" t="str">
            <v>England</v>
          </cell>
          <cell r="F96" t="str">
            <v>UK</v>
          </cell>
          <cell r="G96">
            <v>49</v>
          </cell>
          <cell r="H96">
            <v>49</v>
          </cell>
          <cell r="I96" t="str">
            <v>Female</v>
          </cell>
          <cell r="J96" t="str">
            <v>Female</v>
          </cell>
          <cell r="K96" t="str">
            <v>Medium</v>
          </cell>
          <cell r="L96" t="str">
            <v>Regular</v>
          </cell>
          <cell r="M96">
            <v>44990</v>
          </cell>
          <cell r="N96">
            <v>3</v>
          </cell>
          <cell r="O96">
            <v>3</v>
          </cell>
          <cell r="P96">
            <v>427.59478369999999</v>
          </cell>
          <cell r="Q96">
            <v>1282.784351</v>
          </cell>
          <cell r="R96" t="str">
            <v>Clothing</v>
          </cell>
          <cell r="S96" t="str">
            <v>Clothing</v>
          </cell>
          <cell r="T96" t="str">
            <v>Shorts</v>
          </cell>
          <cell r="U96" t="str">
            <v>Clothing</v>
          </cell>
          <cell r="V96" t="str">
            <v>Bad</v>
          </cell>
          <cell r="W96" t="str">
            <v>Bad</v>
          </cell>
          <cell r="X96" t="str">
            <v>Express</v>
          </cell>
          <cell r="Y96">
            <v>1</v>
          </cell>
          <cell r="Z96">
            <v>1</v>
          </cell>
        </row>
        <row r="97">
          <cell r="A97">
            <v>5166565</v>
          </cell>
          <cell r="B97">
            <v>51279</v>
          </cell>
          <cell r="C97" t="str">
            <v>Roy Obrien</v>
          </cell>
          <cell r="D97" t="str">
            <v>Portsmouth</v>
          </cell>
          <cell r="E97" t="str">
            <v>England</v>
          </cell>
          <cell r="F97" t="str">
            <v>UK</v>
          </cell>
          <cell r="G97">
            <v>60</v>
          </cell>
          <cell r="H97">
            <v>60</v>
          </cell>
          <cell r="I97" t="str">
            <v>Male</v>
          </cell>
          <cell r="J97" t="str">
            <v>Male</v>
          </cell>
          <cell r="K97" t="str">
            <v>Low</v>
          </cell>
          <cell r="L97" t="str">
            <v>Regular</v>
          </cell>
          <cell r="M97">
            <v>45281</v>
          </cell>
          <cell r="N97">
            <v>4</v>
          </cell>
          <cell r="O97">
            <v>4</v>
          </cell>
          <cell r="P97">
            <v>183.7086333</v>
          </cell>
          <cell r="Q97">
            <v>734.83453310000004</v>
          </cell>
          <cell r="R97" t="str">
            <v>Grocery</v>
          </cell>
          <cell r="S97" t="str">
            <v>Grocery</v>
          </cell>
          <cell r="T97" t="str">
            <v>Water</v>
          </cell>
          <cell r="U97" t="str">
            <v>Grocery</v>
          </cell>
          <cell r="V97" t="str">
            <v>Good</v>
          </cell>
          <cell r="W97" t="str">
            <v>Good</v>
          </cell>
          <cell r="X97" t="str">
            <v>Same-Day</v>
          </cell>
          <cell r="Y97">
            <v>3</v>
          </cell>
          <cell r="Z97">
            <v>3</v>
          </cell>
        </row>
        <row r="98">
          <cell r="A98">
            <v>1685588</v>
          </cell>
          <cell r="B98">
            <v>70655</v>
          </cell>
          <cell r="C98" t="str">
            <v>Renee Banks</v>
          </cell>
          <cell r="D98" t="str">
            <v>Portsmouth</v>
          </cell>
          <cell r="E98" t="str">
            <v>England</v>
          </cell>
          <cell r="F98" t="str">
            <v>UK</v>
          </cell>
          <cell r="G98">
            <v>20</v>
          </cell>
          <cell r="H98">
            <v>20</v>
          </cell>
          <cell r="I98" t="str">
            <v>Male</v>
          </cell>
          <cell r="J98" t="str">
            <v>Male</v>
          </cell>
          <cell r="K98" t="str">
            <v>Medium</v>
          </cell>
          <cell r="L98" t="str">
            <v>Regular</v>
          </cell>
          <cell r="M98">
            <v>45163</v>
          </cell>
          <cell r="N98">
            <v>4</v>
          </cell>
          <cell r="O98">
            <v>4</v>
          </cell>
          <cell r="P98">
            <v>466.22066000000001</v>
          </cell>
          <cell r="Q98">
            <v>1864.88264</v>
          </cell>
          <cell r="R98" t="str">
            <v>Books</v>
          </cell>
          <cell r="S98" t="str">
            <v>Books</v>
          </cell>
          <cell r="T98" t="str">
            <v>Fiction</v>
          </cell>
          <cell r="U98" t="str">
            <v>Books</v>
          </cell>
          <cell r="V98" t="str">
            <v>Excellent</v>
          </cell>
          <cell r="W98" t="str">
            <v>Excellent</v>
          </cell>
          <cell r="X98" t="str">
            <v>Express</v>
          </cell>
          <cell r="Y98">
            <v>5</v>
          </cell>
          <cell r="Z98">
            <v>5</v>
          </cell>
        </row>
        <row r="99">
          <cell r="A99">
            <v>3101821</v>
          </cell>
          <cell r="B99">
            <v>93615</v>
          </cell>
          <cell r="C99" t="str">
            <v>Linda Spencer DVM</v>
          </cell>
          <cell r="D99" t="str">
            <v>Portsmouth</v>
          </cell>
          <cell r="E99" t="str">
            <v>England</v>
          </cell>
          <cell r="F99" t="str">
            <v>UK</v>
          </cell>
          <cell r="G99">
            <v>35</v>
          </cell>
          <cell r="H99">
            <v>35</v>
          </cell>
          <cell r="I99" t="str">
            <v>Male</v>
          </cell>
          <cell r="J99" t="str">
            <v>Male</v>
          </cell>
          <cell r="K99" t="str">
            <v>Low</v>
          </cell>
          <cell r="L99" t="str">
            <v>Regular</v>
          </cell>
          <cell r="M99">
            <v>44993</v>
          </cell>
          <cell r="N99">
            <v>6</v>
          </cell>
          <cell r="O99">
            <v>6</v>
          </cell>
          <cell r="P99">
            <v>106.4830681</v>
          </cell>
          <cell r="Q99">
            <v>638.89840860000004</v>
          </cell>
          <cell r="R99" t="str">
            <v>Grocery</v>
          </cell>
          <cell r="S99" t="str">
            <v>Grocery</v>
          </cell>
          <cell r="T99" t="str">
            <v>Soft Drink</v>
          </cell>
          <cell r="U99" t="str">
            <v>Grocery</v>
          </cell>
          <cell r="V99" t="str">
            <v>Bad</v>
          </cell>
          <cell r="W99" t="str">
            <v>Bad</v>
          </cell>
          <cell r="X99" t="str">
            <v>Same-Day</v>
          </cell>
          <cell r="Y99">
            <v>1</v>
          </cell>
          <cell r="Z99">
            <v>1</v>
          </cell>
        </row>
        <row r="100">
          <cell r="A100">
            <v>6113733</v>
          </cell>
          <cell r="B100">
            <v>86785</v>
          </cell>
          <cell r="C100" t="str">
            <v>Todd Hernandez</v>
          </cell>
          <cell r="D100" t="str">
            <v>Portsmouth</v>
          </cell>
          <cell r="E100" t="str">
            <v>England</v>
          </cell>
          <cell r="F100" t="str">
            <v>UK</v>
          </cell>
          <cell r="G100">
            <v>33</v>
          </cell>
          <cell r="H100">
            <v>33</v>
          </cell>
          <cell r="I100" t="str">
            <v>Female</v>
          </cell>
          <cell r="J100" t="str">
            <v>Female</v>
          </cell>
          <cell r="K100" t="str">
            <v>Medium</v>
          </cell>
          <cell r="L100" t="str">
            <v>Regular</v>
          </cell>
          <cell r="M100">
            <v>45062</v>
          </cell>
          <cell r="N100">
            <v>9</v>
          </cell>
          <cell r="O100">
            <v>9</v>
          </cell>
          <cell r="P100">
            <v>311.44461430000001</v>
          </cell>
          <cell r="Q100">
            <v>2803.0015279999998</v>
          </cell>
          <cell r="R100" t="str">
            <v>Clothing</v>
          </cell>
          <cell r="S100" t="str">
            <v>Clothing</v>
          </cell>
          <cell r="T100" t="str">
            <v>Shirt</v>
          </cell>
          <cell r="U100" t="str">
            <v>Clothing</v>
          </cell>
          <cell r="V100" t="str">
            <v>Bad</v>
          </cell>
          <cell r="W100" t="str">
            <v>Bad</v>
          </cell>
          <cell r="X100" t="str">
            <v>Same-Day</v>
          </cell>
          <cell r="Y100">
            <v>1</v>
          </cell>
          <cell r="Z100">
            <v>1</v>
          </cell>
        </row>
        <row r="101">
          <cell r="A101">
            <v>9823195</v>
          </cell>
          <cell r="B101">
            <v>14549</v>
          </cell>
          <cell r="C101" t="str">
            <v>Danielle Bennett</v>
          </cell>
          <cell r="D101" t="str">
            <v>Portsmouth</v>
          </cell>
          <cell r="E101" t="str">
            <v>England</v>
          </cell>
          <cell r="F101" t="str">
            <v>UK</v>
          </cell>
          <cell r="G101">
            <v>62</v>
          </cell>
          <cell r="H101">
            <v>62</v>
          </cell>
          <cell r="I101" t="str">
            <v>Female</v>
          </cell>
          <cell r="J101" t="str">
            <v>Female</v>
          </cell>
          <cell r="K101" t="str">
            <v>Medium</v>
          </cell>
          <cell r="L101" t="str">
            <v>Regular</v>
          </cell>
          <cell r="M101">
            <v>45238</v>
          </cell>
          <cell r="N101">
            <v>4</v>
          </cell>
          <cell r="O101">
            <v>4</v>
          </cell>
          <cell r="P101">
            <v>104.5063373</v>
          </cell>
          <cell r="Q101">
            <v>418.02534910000003</v>
          </cell>
          <cell r="R101" t="str">
            <v>Books</v>
          </cell>
          <cell r="S101" t="str">
            <v>Books</v>
          </cell>
          <cell r="T101" t="str">
            <v>Fiction</v>
          </cell>
          <cell r="U101" t="str">
            <v>Books</v>
          </cell>
          <cell r="V101" t="str">
            <v>Excellent</v>
          </cell>
          <cell r="W101" t="str">
            <v>Excellent</v>
          </cell>
          <cell r="X101" t="str">
            <v>Express</v>
          </cell>
          <cell r="Y101">
            <v>5</v>
          </cell>
          <cell r="Z101">
            <v>5</v>
          </cell>
        </row>
        <row r="102">
          <cell r="A102">
            <v>1295338</v>
          </cell>
          <cell r="B102">
            <v>94652</v>
          </cell>
          <cell r="C102" t="str">
            <v>Elizabeth Fisher</v>
          </cell>
          <cell r="D102" t="str">
            <v>Portsmouth</v>
          </cell>
          <cell r="E102" t="str">
            <v>England</v>
          </cell>
          <cell r="F102" t="str">
            <v>UK</v>
          </cell>
          <cell r="G102">
            <v>19</v>
          </cell>
          <cell r="H102">
            <v>19</v>
          </cell>
          <cell r="I102" t="str">
            <v>Male</v>
          </cell>
          <cell r="J102" t="str">
            <v>Male</v>
          </cell>
          <cell r="K102" t="str">
            <v>Medium</v>
          </cell>
          <cell r="L102" t="str">
            <v>Regular</v>
          </cell>
          <cell r="M102">
            <v>45277</v>
          </cell>
          <cell r="N102">
            <v>2</v>
          </cell>
          <cell r="O102">
            <v>2</v>
          </cell>
          <cell r="P102">
            <v>152.57366579999999</v>
          </cell>
          <cell r="Q102">
            <v>305.14733150000001</v>
          </cell>
          <cell r="R102" t="str">
            <v>Books</v>
          </cell>
          <cell r="S102" t="str">
            <v>Books</v>
          </cell>
          <cell r="T102" t="str">
            <v>Fiction</v>
          </cell>
          <cell r="U102" t="str">
            <v>Books</v>
          </cell>
          <cell r="V102" t="str">
            <v>Excellent</v>
          </cell>
          <cell r="W102" t="str">
            <v>Excellent</v>
          </cell>
          <cell r="X102" t="str">
            <v>Same-Day</v>
          </cell>
          <cell r="Y102">
            <v>5</v>
          </cell>
          <cell r="Z102">
            <v>5</v>
          </cell>
        </row>
        <row r="103">
          <cell r="A103">
            <v>3326402</v>
          </cell>
          <cell r="B103">
            <v>67949</v>
          </cell>
          <cell r="C103" t="str">
            <v>Martin Giles</v>
          </cell>
          <cell r="D103" t="str">
            <v>Portsmouth</v>
          </cell>
          <cell r="E103" t="str">
            <v>England</v>
          </cell>
          <cell r="F103" t="str">
            <v>UK</v>
          </cell>
          <cell r="G103">
            <v>54</v>
          </cell>
          <cell r="H103">
            <v>54</v>
          </cell>
          <cell r="I103" t="str">
            <v>Male</v>
          </cell>
          <cell r="J103" t="str">
            <v>Male</v>
          </cell>
          <cell r="K103" t="str">
            <v>Medium</v>
          </cell>
          <cell r="L103" t="str">
            <v>Regular</v>
          </cell>
          <cell r="M103">
            <v>45342</v>
          </cell>
          <cell r="N103">
            <v>3</v>
          </cell>
          <cell r="O103">
            <v>3</v>
          </cell>
          <cell r="P103">
            <v>242.8579728</v>
          </cell>
          <cell r="Q103">
            <v>728.57391840000003</v>
          </cell>
          <cell r="R103" t="str">
            <v>Grocery</v>
          </cell>
          <cell r="S103" t="str">
            <v>Grocery</v>
          </cell>
          <cell r="T103" t="str">
            <v>Snacks</v>
          </cell>
          <cell r="U103" t="str">
            <v>Grocery</v>
          </cell>
          <cell r="V103" t="str">
            <v>Average</v>
          </cell>
          <cell r="W103" t="str">
            <v>Average</v>
          </cell>
          <cell r="X103" t="str">
            <v>Standard</v>
          </cell>
          <cell r="Y103">
            <v>2</v>
          </cell>
          <cell r="Z103">
            <v>2</v>
          </cell>
        </row>
        <row r="104">
          <cell r="A104">
            <v>9703915</v>
          </cell>
          <cell r="B104">
            <v>38862</v>
          </cell>
          <cell r="C104" t="str">
            <v>Nicholas Nelson</v>
          </cell>
          <cell r="D104" t="str">
            <v>Portsmouth</v>
          </cell>
          <cell r="E104" t="str">
            <v>England</v>
          </cell>
          <cell r="F104" t="str">
            <v>UK</v>
          </cell>
          <cell r="G104">
            <v>50</v>
          </cell>
          <cell r="H104">
            <v>50</v>
          </cell>
          <cell r="I104" t="str">
            <v>Female</v>
          </cell>
          <cell r="J104" t="str">
            <v>Female</v>
          </cell>
          <cell r="K104" t="str">
            <v>Low</v>
          </cell>
          <cell r="L104" t="str">
            <v>Regular</v>
          </cell>
          <cell r="M104">
            <v>45246</v>
          </cell>
          <cell r="N104">
            <v>3</v>
          </cell>
          <cell r="O104">
            <v>3</v>
          </cell>
          <cell r="P104">
            <v>380.15765110000001</v>
          </cell>
          <cell r="Q104">
            <v>1140.472953</v>
          </cell>
          <cell r="R104" t="str">
            <v>Grocery</v>
          </cell>
          <cell r="S104" t="str">
            <v>Grocery</v>
          </cell>
          <cell r="T104" t="str">
            <v>Chocolate</v>
          </cell>
          <cell r="U104" t="str">
            <v>Grocery</v>
          </cell>
          <cell r="V104" t="str">
            <v>Bad</v>
          </cell>
          <cell r="W104" t="str">
            <v>Bad</v>
          </cell>
          <cell r="X104" t="str">
            <v>Standard</v>
          </cell>
          <cell r="Y104">
            <v>1</v>
          </cell>
          <cell r="Z104">
            <v>1</v>
          </cell>
        </row>
        <row r="105">
          <cell r="A105">
            <v>1194954</v>
          </cell>
          <cell r="B105">
            <v>13566</v>
          </cell>
          <cell r="C105" t="str">
            <v>Maria Johnson</v>
          </cell>
          <cell r="D105" t="str">
            <v>Portsmouth</v>
          </cell>
          <cell r="E105" t="str">
            <v>England</v>
          </cell>
          <cell r="F105" t="str">
            <v>UK</v>
          </cell>
          <cell r="G105">
            <v>26</v>
          </cell>
          <cell r="H105">
            <v>26</v>
          </cell>
          <cell r="I105" t="str">
            <v>Female</v>
          </cell>
          <cell r="J105" t="str">
            <v>Female</v>
          </cell>
          <cell r="K105" t="str">
            <v>Low</v>
          </cell>
          <cell r="L105" t="str">
            <v>Regular</v>
          </cell>
          <cell r="M105">
            <v>45110</v>
          </cell>
          <cell r="N105">
            <v>1</v>
          </cell>
          <cell r="O105">
            <v>1</v>
          </cell>
          <cell r="P105">
            <v>377.61376890000003</v>
          </cell>
          <cell r="Q105">
            <v>377.61376890000003</v>
          </cell>
          <cell r="R105" t="str">
            <v>Home Decor</v>
          </cell>
          <cell r="S105" t="str">
            <v>Home Decor</v>
          </cell>
          <cell r="T105" t="str">
            <v>Bathroom</v>
          </cell>
          <cell r="U105" t="str">
            <v>Home Decor</v>
          </cell>
          <cell r="V105" t="str">
            <v>Good</v>
          </cell>
          <cell r="W105" t="str">
            <v>Good</v>
          </cell>
          <cell r="X105" t="str">
            <v>Same-Day</v>
          </cell>
          <cell r="Y105">
            <v>3</v>
          </cell>
          <cell r="Z105">
            <v>3</v>
          </cell>
        </row>
        <row r="106">
          <cell r="A106">
            <v>8942113</v>
          </cell>
          <cell r="B106">
            <v>72626</v>
          </cell>
          <cell r="C106" t="str">
            <v>Daniel Morgan</v>
          </cell>
          <cell r="D106" t="str">
            <v>Portsmouth</v>
          </cell>
          <cell r="E106" t="str">
            <v>England</v>
          </cell>
          <cell r="F106" t="str">
            <v>UK</v>
          </cell>
          <cell r="G106">
            <v>58</v>
          </cell>
          <cell r="H106">
            <v>58</v>
          </cell>
          <cell r="I106" t="str">
            <v>Male</v>
          </cell>
          <cell r="J106" t="str">
            <v>Male</v>
          </cell>
          <cell r="K106" t="str">
            <v>Medium</v>
          </cell>
          <cell r="L106" t="str">
            <v>Regular</v>
          </cell>
          <cell r="M106">
            <v>45316</v>
          </cell>
          <cell r="N106">
            <v>1</v>
          </cell>
          <cell r="O106">
            <v>1</v>
          </cell>
          <cell r="P106">
            <v>212.30246589999999</v>
          </cell>
          <cell r="Q106">
            <v>212.30246589999999</v>
          </cell>
          <cell r="R106" t="str">
            <v>Home Decor</v>
          </cell>
          <cell r="S106" t="str">
            <v>Home Decor</v>
          </cell>
          <cell r="T106" t="str">
            <v>Bedding</v>
          </cell>
          <cell r="U106" t="str">
            <v>Home Decor</v>
          </cell>
          <cell r="V106" t="str">
            <v>Average</v>
          </cell>
          <cell r="W106" t="str">
            <v>Average</v>
          </cell>
          <cell r="X106" t="str">
            <v>Same-Day</v>
          </cell>
          <cell r="Y106">
            <v>2</v>
          </cell>
          <cell r="Z106">
            <v>2</v>
          </cell>
        </row>
        <row r="107">
          <cell r="A107">
            <v>2729227</v>
          </cell>
          <cell r="B107">
            <v>45610</v>
          </cell>
          <cell r="C107" t="str">
            <v>Sarah Lewis</v>
          </cell>
          <cell r="D107" t="str">
            <v>Portsmouth</v>
          </cell>
          <cell r="E107" t="str">
            <v>England</v>
          </cell>
          <cell r="F107" t="str">
            <v>UK</v>
          </cell>
          <cell r="G107">
            <v>47</v>
          </cell>
          <cell r="H107">
            <v>47</v>
          </cell>
          <cell r="I107" t="str">
            <v>Female</v>
          </cell>
          <cell r="J107" t="str">
            <v>Female</v>
          </cell>
          <cell r="K107" t="str">
            <v>Medium</v>
          </cell>
          <cell r="L107" t="str">
            <v>Regular</v>
          </cell>
          <cell r="M107">
            <v>45117</v>
          </cell>
          <cell r="N107">
            <v>9</v>
          </cell>
          <cell r="O107">
            <v>9</v>
          </cell>
          <cell r="P107">
            <v>145.65833979999999</v>
          </cell>
          <cell r="Q107">
            <v>1310.9250589999999</v>
          </cell>
          <cell r="R107" t="str">
            <v>Books</v>
          </cell>
          <cell r="S107" t="str">
            <v>Books</v>
          </cell>
          <cell r="T107" t="str">
            <v>Literature</v>
          </cell>
          <cell r="U107" t="str">
            <v>Books</v>
          </cell>
          <cell r="V107" t="str">
            <v>Average</v>
          </cell>
          <cell r="W107" t="str">
            <v>Average</v>
          </cell>
          <cell r="X107" t="str">
            <v>Standard</v>
          </cell>
          <cell r="Y107">
            <v>2</v>
          </cell>
          <cell r="Z107">
            <v>2</v>
          </cell>
        </row>
        <row r="108">
          <cell r="A108">
            <v>9193737</v>
          </cell>
          <cell r="B108">
            <v>45455</v>
          </cell>
          <cell r="C108" t="str">
            <v>Katherine Stuart</v>
          </cell>
          <cell r="D108" t="str">
            <v>Portsmouth</v>
          </cell>
          <cell r="E108" t="str">
            <v>England</v>
          </cell>
          <cell r="F108" t="str">
            <v>UK</v>
          </cell>
          <cell r="G108">
            <v>35</v>
          </cell>
          <cell r="H108">
            <v>35</v>
          </cell>
          <cell r="I108" t="str">
            <v>Female</v>
          </cell>
          <cell r="J108" t="str">
            <v>Female</v>
          </cell>
          <cell r="K108" t="str">
            <v>Low</v>
          </cell>
          <cell r="L108" t="str">
            <v>Regular</v>
          </cell>
          <cell r="M108">
            <v>45132</v>
          </cell>
          <cell r="N108">
            <v>1</v>
          </cell>
          <cell r="O108">
            <v>1</v>
          </cell>
          <cell r="P108">
            <v>275.72022070000003</v>
          </cell>
          <cell r="Q108">
            <v>275.72022070000003</v>
          </cell>
          <cell r="R108" t="str">
            <v>Electronics</v>
          </cell>
          <cell r="S108" t="str">
            <v>Electronics</v>
          </cell>
          <cell r="T108" t="str">
            <v>Smartphone</v>
          </cell>
          <cell r="U108" t="str">
            <v>Electronics</v>
          </cell>
          <cell r="V108" t="str">
            <v>Average</v>
          </cell>
          <cell r="W108" t="str">
            <v>Average</v>
          </cell>
          <cell r="X108" t="str">
            <v>Express</v>
          </cell>
          <cell r="Y108">
            <v>2</v>
          </cell>
          <cell r="Z108">
            <v>2</v>
          </cell>
        </row>
        <row r="109">
          <cell r="A109">
            <v>7260440</v>
          </cell>
          <cell r="B109">
            <v>72079</v>
          </cell>
          <cell r="C109" t="str">
            <v>Diana Thomas</v>
          </cell>
          <cell r="D109" t="str">
            <v>Portsmouth</v>
          </cell>
          <cell r="E109" t="str">
            <v>England</v>
          </cell>
          <cell r="F109" t="str">
            <v>UK</v>
          </cell>
          <cell r="G109">
            <v>25</v>
          </cell>
          <cell r="H109">
            <v>25</v>
          </cell>
          <cell r="I109" t="str">
            <v>Male</v>
          </cell>
          <cell r="J109" t="str">
            <v>Male</v>
          </cell>
          <cell r="K109" t="str">
            <v>Low</v>
          </cell>
          <cell r="L109" t="str">
            <v>Regular</v>
          </cell>
          <cell r="M109">
            <v>45272</v>
          </cell>
          <cell r="N109">
            <v>10</v>
          </cell>
          <cell r="O109">
            <v>10</v>
          </cell>
          <cell r="P109">
            <v>249.8993538</v>
          </cell>
          <cell r="Q109">
            <v>2498.9935380000002</v>
          </cell>
          <cell r="R109" t="str">
            <v>Home Decor</v>
          </cell>
          <cell r="S109" t="str">
            <v>Home Decor</v>
          </cell>
          <cell r="T109" t="str">
            <v>Furniture</v>
          </cell>
          <cell r="U109" t="str">
            <v>Home Decor</v>
          </cell>
          <cell r="V109" t="str">
            <v>Bad</v>
          </cell>
          <cell r="W109" t="str">
            <v>Bad</v>
          </cell>
          <cell r="X109" t="str">
            <v>Standard</v>
          </cell>
          <cell r="Y109">
            <v>1</v>
          </cell>
          <cell r="Z109">
            <v>1</v>
          </cell>
        </row>
        <row r="110">
          <cell r="A110">
            <v>6219631</v>
          </cell>
          <cell r="B110">
            <v>26736</v>
          </cell>
          <cell r="C110" t="str">
            <v>Danielle May</v>
          </cell>
          <cell r="D110" t="str">
            <v>Portsmouth</v>
          </cell>
          <cell r="E110" t="str">
            <v>England</v>
          </cell>
          <cell r="F110" t="str">
            <v>UK</v>
          </cell>
          <cell r="G110">
            <v>67</v>
          </cell>
          <cell r="H110">
            <v>67</v>
          </cell>
          <cell r="I110" t="str">
            <v>Female</v>
          </cell>
          <cell r="J110" t="str">
            <v>Female</v>
          </cell>
          <cell r="K110" t="str">
            <v>Medium</v>
          </cell>
          <cell r="L110" t="str">
            <v>Regular</v>
          </cell>
          <cell r="M110">
            <v>45168</v>
          </cell>
          <cell r="N110">
            <v>8</v>
          </cell>
          <cell r="O110">
            <v>8</v>
          </cell>
          <cell r="P110">
            <v>221.5377905</v>
          </cell>
          <cell r="Q110">
            <v>1772.302324</v>
          </cell>
          <cell r="R110" t="str">
            <v>Electronics</v>
          </cell>
          <cell r="S110" t="str">
            <v>Electronics</v>
          </cell>
          <cell r="T110" t="str">
            <v>Television</v>
          </cell>
          <cell r="U110" t="str">
            <v>Electronics</v>
          </cell>
          <cell r="V110" t="str">
            <v>Good</v>
          </cell>
          <cell r="W110" t="str">
            <v>Good</v>
          </cell>
          <cell r="X110" t="str">
            <v>Express</v>
          </cell>
          <cell r="Y110">
            <v>4</v>
          </cell>
          <cell r="Z110">
            <v>4</v>
          </cell>
        </row>
        <row r="111">
          <cell r="A111">
            <v>7379891</v>
          </cell>
          <cell r="B111">
            <v>47846</v>
          </cell>
          <cell r="C111" t="str">
            <v>Mary Kim</v>
          </cell>
          <cell r="D111" t="str">
            <v>Portsmouth</v>
          </cell>
          <cell r="E111" t="str">
            <v>England</v>
          </cell>
          <cell r="F111" t="str">
            <v>UK</v>
          </cell>
          <cell r="G111">
            <v>65</v>
          </cell>
          <cell r="H111">
            <v>65</v>
          </cell>
          <cell r="I111" t="str">
            <v>Male</v>
          </cell>
          <cell r="J111" t="str">
            <v>Male</v>
          </cell>
          <cell r="K111" t="str">
            <v>Low</v>
          </cell>
          <cell r="L111" t="str">
            <v>Regular</v>
          </cell>
          <cell r="M111">
            <v>45101</v>
          </cell>
          <cell r="N111">
            <v>4</v>
          </cell>
          <cell r="O111">
            <v>4</v>
          </cell>
          <cell r="P111">
            <v>478.10916200000003</v>
          </cell>
          <cell r="Q111">
            <v>1912.4366480000001</v>
          </cell>
          <cell r="R111" t="str">
            <v>Grocery</v>
          </cell>
          <cell r="S111" t="str">
            <v>Grocery</v>
          </cell>
          <cell r="T111" t="str">
            <v>Juice</v>
          </cell>
          <cell r="U111" t="str">
            <v>Grocery</v>
          </cell>
          <cell r="V111"/>
          <cell r="W111" t="str">
            <v>Unknown</v>
          </cell>
          <cell r="X111" t="str">
            <v>Same-Day</v>
          </cell>
          <cell r="Y111"/>
          <cell r="Z111">
            <v>2.7429305912596402</v>
          </cell>
        </row>
        <row r="112">
          <cell r="A112">
            <v>8748941</v>
          </cell>
          <cell r="B112">
            <v>77875</v>
          </cell>
          <cell r="C112" t="str">
            <v>Monica Peterson</v>
          </cell>
          <cell r="D112" t="str">
            <v>Portsmouth</v>
          </cell>
          <cell r="E112" t="str">
            <v>England</v>
          </cell>
          <cell r="F112" t="str">
            <v>UK</v>
          </cell>
          <cell r="G112">
            <v>65</v>
          </cell>
          <cell r="H112">
            <v>65</v>
          </cell>
          <cell r="I112" t="str">
            <v>Male</v>
          </cell>
          <cell r="J112" t="str">
            <v>Male</v>
          </cell>
          <cell r="K112" t="str">
            <v>Medium</v>
          </cell>
          <cell r="L112" t="str">
            <v>Regular</v>
          </cell>
          <cell r="M112">
            <v>45305</v>
          </cell>
          <cell r="N112">
            <v>3</v>
          </cell>
          <cell r="O112">
            <v>3</v>
          </cell>
          <cell r="P112">
            <v>399.37262370000002</v>
          </cell>
          <cell r="Q112">
            <v>1198.1178709999999</v>
          </cell>
          <cell r="R112" t="str">
            <v>Electronics</v>
          </cell>
          <cell r="S112" t="str">
            <v>Electronics</v>
          </cell>
          <cell r="T112" t="str">
            <v>Television</v>
          </cell>
          <cell r="U112" t="str">
            <v>Electronics</v>
          </cell>
          <cell r="V112" t="str">
            <v>Good</v>
          </cell>
          <cell r="W112" t="str">
            <v>Good</v>
          </cell>
          <cell r="X112" t="str">
            <v>Standard</v>
          </cell>
          <cell r="Y112">
            <v>3</v>
          </cell>
          <cell r="Z112">
            <v>3</v>
          </cell>
        </row>
        <row r="113">
          <cell r="A113">
            <v>7177238</v>
          </cell>
          <cell r="B113">
            <v>95547</v>
          </cell>
          <cell r="C113" t="str">
            <v>Sarah Li</v>
          </cell>
          <cell r="D113" t="str">
            <v>Portsmouth</v>
          </cell>
          <cell r="E113" t="str">
            <v>England</v>
          </cell>
          <cell r="F113" t="str">
            <v>UK</v>
          </cell>
          <cell r="G113">
            <v>30</v>
          </cell>
          <cell r="H113">
            <v>30</v>
          </cell>
          <cell r="I113" t="str">
            <v>Male</v>
          </cell>
          <cell r="J113" t="str">
            <v>Male</v>
          </cell>
          <cell r="K113" t="str">
            <v>High</v>
          </cell>
          <cell r="L113" t="str">
            <v>Regular</v>
          </cell>
          <cell r="M113">
            <v>45327</v>
          </cell>
          <cell r="N113">
            <v>7</v>
          </cell>
          <cell r="O113">
            <v>7</v>
          </cell>
          <cell r="P113">
            <v>459.68229330000003</v>
          </cell>
          <cell r="Q113">
            <v>3217.776053</v>
          </cell>
          <cell r="R113" t="str">
            <v>Books</v>
          </cell>
          <cell r="S113" t="str">
            <v>Books</v>
          </cell>
          <cell r="T113" t="str">
            <v>Non-Fiction</v>
          </cell>
          <cell r="U113" t="str">
            <v>Books</v>
          </cell>
          <cell r="V113" t="str">
            <v>Good</v>
          </cell>
          <cell r="W113" t="str">
            <v>Good</v>
          </cell>
          <cell r="X113" t="str">
            <v>Express</v>
          </cell>
          <cell r="Y113">
            <v>4</v>
          </cell>
          <cell r="Z113">
            <v>4</v>
          </cell>
        </row>
        <row r="114">
          <cell r="A114">
            <v>6752816</v>
          </cell>
          <cell r="B114">
            <v>50126</v>
          </cell>
          <cell r="C114" t="str">
            <v>Brianna Murray</v>
          </cell>
          <cell r="D114" t="str">
            <v>Portsmouth</v>
          </cell>
          <cell r="E114" t="str">
            <v>England</v>
          </cell>
          <cell r="F114" t="str">
            <v>UK</v>
          </cell>
          <cell r="G114">
            <v>32</v>
          </cell>
          <cell r="H114">
            <v>32</v>
          </cell>
          <cell r="I114" t="str">
            <v>Female</v>
          </cell>
          <cell r="J114" t="str">
            <v>Female</v>
          </cell>
          <cell r="K114" t="str">
            <v>Low</v>
          </cell>
          <cell r="L114" t="str">
            <v>Regular</v>
          </cell>
          <cell r="M114">
            <v>45280</v>
          </cell>
          <cell r="N114">
            <v>1</v>
          </cell>
          <cell r="O114">
            <v>1</v>
          </cell>
          <cell r="P114">
            <v>171.2626583</v>
          </cell>
          <cell r="Q114">
            <v>171.2626583</v>
          </cell>
          <cell r="R114" t="str">
            <v>Electronics</v>
          </cell>
          <cell r="S114" t="str">
            <v>Electronics</v>
          </cell>
          <cell r="T114" t="str">
            <v>Smartphone</v>
          </cell>
          <cell r="U114" t="str">
            <v>Electronics</v>
          </cell>
          <cell r="V114" t="str">
            <v>Bad</v>
          </cell>
          <cell r="W114" t="str">
            <v>Bad</v>
          </cell>
          <cell r="X114" t="str">
            <v>Standard</v>
          </cell>
          <cell r="Y114">
            <v>1</v>
          </cell>
          <cell r="Z114">
            <v>1</v>
          </cell>
        </row>
        <row r="115">
          <cell r="A115">
            <v>7018142</v>
          </cell>
          <cell r="B115">
            <v>67530</v>
          </cell>
          <cell r="C115" t="str">
            <v>Mathew Fitzgerald</v>
          </cell>
          <cell r="D115" t="str">
            <v>Portsmouth</v>
          </cell>
          <cell r="E115" t="str">
            <v>England</v>
          </cell>
          <cell r="F115" t="str">
            <v>UK</v>
          </cell>
          <cell r="G115">
            <v>50</v>
          </cell>
          <cell r="H115">
            <v>50</v>
          </cell>
          <cell r="I115" t="str">
            <v>Male</v>
          </cell>
          <cell r="J115" t="str">
            <v>Male</v>
          </cell>
          <cell r="K115" t="str">
            <v>Low</v>
          </cell>
          <cell r="L115" t="str">
            <v>Regular</v>
          </cell>
          <cell r="M115">
            <v>45161</v>
          </cell>
          <cell r="N115">
            <v>7</v>
          </cell>
          <cell r="O115">
            <v>7</v>
          </cell>
          <cell r="P115">
            <v>178.03425110000001</v>
          </cell>
          <cell r="Q115">
            <v>1246.2397579999999</v>
          </cell>
          <cell r="R115" t="str">
            <v>Clothing</v>
          </cell>
          <cell r="S115" t="str">
            <v>Clothing</v>
          </cell>
          <cell r="T115" t="str">
            <v>T-shirt</v>
          </cell>
          <cell r="U115" t="str">
            <v>Clothing</v>
          </cell>
          <cell r="V115" t="str">
            <v>Excellent</v>
          </cell>
          <cell r="W115" t="str">
            <v>Excellent</v>
          </cell>
          <cell r="X115" t="str">
            <v>Standard</v>
          </cell>
          <cell r="Y115">
            <v>4</v>
          </cell>
          <cell r="Z115">
            <v>4</v>
          </cell>
        </row>
        <row r="116">
          <cell r="A116">
            <v>9329957</v>
          </cell>
          <cell r="B116">
            <v>55159</v>
          </cell>
          <cell r="C116" t="str">
            <v>Ellen Simpson</v>
          </cell>
          <cell r="D116" t="str">
            <v>Portsmouth</v>
          </cell>
          <cell r="E116" t="str">
            <v>England</v>
          </cell>
          <cell r="F116" t="str">
            <v>UK</v>
          </cell>
          <cell r="G116">
            <v>50</v>
          </cell>
          <cell r="H116">
            <v>50</v>
          </cell>
          <cell r="I116" t="str">
            <v>Male</v>
          </cell>
          <cell r="J116" t="str">
            <v>Male</v>
          </cell>
          <cell r="K116" t="str">
            <v>Medium</v>
          </cell>
          <cell r="L116" t="str">
            <v>Regular</v>
          </cell>
          <cell r="M116">
            <v>45328</v>
          </cell>
          <cell r="N116">
            <v>1</v>
          </cell>
          <cell r="O116">
            <v>1</v>
          </cell>
          <cell r="P116">
            <v>354.69518169999998</v>
          </cell>
          <cell r="Q116">
            <v>354.69518169999998</v>
          </cell>
          <cell r="R116" t="str">
            <v>Grocery</v>
          </cell>
          <cell r="S116" t="str">
            <v>Grocery</v>
          </cell>
          <cell r="T116" t="str">
            <v>Juice</v>
          </cell>
          <cell r="U116" t="str">
            <v>Grocery</v>
          </cell>
          <cell r="V116" t="str">
            <v>Good</v>
          </cell>
          <cell r="W116" t="str">
            <v>Good</v>
          </cell>
          <cell r="X116" t="str">
            <v>Standard</v>
          </cell>
          <cell r="Y116">
            <v>4</v>
          </cell>
          <cell r="Z116">
            <v>4</v>
          </cell>
        </row>
        <row r="117">
          <cell r="A117">
            <v>6298651</v>
          </cell>
          <cell r="B117">
            <v>50555</v>
          </cell>
          <cell r="C117" t="str">
            <v>Steven Riddle</v>
          </cell>
          <cell r="D117" t="str">
            <v>Portsmouth</v>
          </cell>
          <cell r="E117" t="str">
            <v>England</v>
          </cell>
          <cell r="F117" t="str">
            <v>UK</v>
          </cell>
          <cell r="G117">
            <v>68</v>
          </cell>
          <cell r="H117">
            <v>68</v>
          </cell>
          <cell r="I117" t="str">
            <v>Male</v>
          </cell>
          <cell r="J117" t="str">
            <v>Male</v>
          </cell>
          <cell r="K117" t="str">
            <v>Low</v>
          </cell>
          <cell r="L117" t="str">
            <v>Regular</v>
          </cell>
          <cell r="M117">
            <v>45324</v>
          </cell>
          <cell r="N117">
            <v>10</v>
          </cell>
          <cell r="O117">
            <v>10</v>
          </cell>
          <cell r="P117">
            <v>373.83639829999998</v>
          </cell>
          <cell r="Q117">
            <v>3738.3639830000002</v>
          </cell>
          <cell r="R117" t="str">
            <v>Electronics</v>
          </cell>
          <cell r="S117" t="str">
            <v>Electronics</v>
          </cell>
          <cell r="T117" t="str">
            <v>Smartphone</v>
          </cell>
          <cell r="U117" t="str">
            <v>Electronics</v>
          </cell>
          <cell r="V117" t="str">
            <v>Bad</v>
          </cell>
          <cell r="W117" t="str">
            <v>Bad</v>
          </cell>
          <cell r="X117" t="str">
            <v>Standard</v>
          </cell>
          <cell r="Y117">
            <v>1</v>
          </cell>
          <cell r="Z117">
            <v>1</v>
          </cell>
        </row>
        <row r="118">
          <cell r="A118">
            <v>5575470</v>
          </cell>
          <cell r="B118">
            <v>21352</v>
          </cell>
          <cell r="C118" t="str">
            <v>Denise Ellison</v>
          </cell>
          <cell r="D118" t="str">
            <v>Portsmouth</v>
          </cell>
          <cell r="E118" t="str">
            <v>England</v>
          </cell>
          <cell r="F118" t="str">
            <v>UK</v>
          </cell>
          <cell r="G118">
            <v>42</v>
          </cell>
          <cell r="H118">
            <v>42</v>
          </cell>
          <cell r="I118" t="str">
            <v>Male</v>
          </cell>
          <cell r="J118" t="str">
            <v>Male</v>
          </cell>
          <cell r="K118" t="str">
            <v>Low</v>
          </cell>
          <cell r="L118" t="str">
            <v>Regular</v>
          </cell>
          <cell r="M118">
            <v>44989</v>
          </cell>
          <cell r="N118">
            <v>1</v>
          </cell>
          <cell r="O118">
            <v>1</v>
          </cell>
          <cell r="P118">
            <v>191.2814448</v>
          </cell>
          <cell r="Q118">
            <v>191.2814448</v>
          </cell>
          <cell r="R118" t="str">
            <v>Grocery</v>
          </cell>
          <cell r="S118" t="str">
            <v>Grocery</v>
          </cell>
          <cell r="T118" t="str">
            <v>Soft Drink</v>
          </cell>
          <cell r="U118" t="str">
            <v>Grocery</v>
          </cell>
          <cell r="V118" t="str">
            <v>Excellent</v>
          </cell>
          <cell r="W118" t="str">
            <v>Excellent</v>
          </cell>
          <cell r="X118" t="str">
            <v>Same-Day</v>
          </cell>
          <cell r="Y118">
            <v>4</v>
          </cell>
          <cell r="Z118">
            <v>4</v>
          </cell>
        </row>
        <row r="119">
          <cell r="A119">
            <v>1238495</v>
          </cell>
          <cell r="B119">
            <v>28128</v>
          </cell>
          <cell r="C119" t="str">
            <v>Mark Frazier</v>
          </cell>
          <cell r="D119" t="str">
            <v>Portsmouth</v>
          </cell>
          <cell r="E119" t="str">
            <v>England</v>
          </cell>
          <cell r="F119" t="str">
            <v>UK</v>
          </cell>
          <cell r="G119">
            <v>65</v>
          </cell>
          <cell r="H119">
            <v>65</v>
          </cell>
          <cell r="I119" t="str">
            <v>Male</v>
          </cell>
          <cell r="J119" t="str">
            <v>Male</v>
          </cell>
          <cell r="K119" t="str">
            <v>Low</v>
          </cell>
          <cell r="L119" t="str">
            <v>Regular</v>
          </cell>
          <cell r="M119">
            <v>45345</v>
          </cell>
          <cell r="N119">
            <v>1</v>
          </cell>
          <cell r="O119">
            <v>1</v>
          </cell>
          <cell r="P119">
            <v>155.88635819999999</v>
          </cell>
          <cell r="Q119">
            <v>155.88635819999999</v>
          </cell>
          <cell r="R119" t="str">
            <v>Home Decor</v>
          </cell>
          <cell r="S119" t="str">
            <v>Home Decor</v>
          </cell>
          <cell r="T119" t="str">
            <v>Lighting</v>
          </cell>
          <cell r="U119" t="str">
            <v>Home Decor</v>
          </cell>
          <cell r="V119" t="str">
            <v>Good</v>
          </cell>
          <cell r="W119" t="str">
            <v>Good</v>
          </cell>
          <cell r="X119" t="str">
            <v>Same-Day</v>
          </cell>
          <cell r="Y119">
            <v>4</v>
          </cell>
          <cell r="Z119">
            <v>4</v>
          </cell>
        </row>
        <row r="120">
          <cell r="A120">
            <v>4105287</v>
          </cell>
          <cell r="B120">
            <v>41336</v>
          </cell>
          <cell r="C120" t="str">
            <v>Nathan Estrada</v>
          </cell>
          <cell r="D120" t="str">
            <v>Portsmouth</v>
          </cell>
          <cell r="E120" t="str">
            <v>England</v>
          </cell>
          <cell r="F120" t="str">
            <v>UK</v>
          </cell>
          <cell r="G120">
            <v>57</v>
          </cell>
          <cell r="H120">
            <v>57</v>
          </cell>
          <cell r="I120" t="str">
            <v>Male</v>
          </cell>
          <cell r="J120" t="str">
            <v>Male</v>
          </cell>
          <cell r="K120" t="str">
            <v>Medium</v>
          </cell>
          <cell r="L120" t="str">
            <v>Regular</v>
          </cell>
          <cell r="M120">
            <v>45308</v>
          </cell>
          <cell r="N120">
            <v>6</v>
          </cell>
          <cell r="O120">
            <v>6</v>
          </cell>
          <cell r="P120">
            <v>141.86498399999999</v>
          </cell>
          <cell r="Q120">
            <v>851.18990389999999</v>
          </cell>
          <cell r="R120" t="str">
            <v>Electronics</v>
          </cell>
          <cell r="S120" t="str">
            <v>Electronics</v>
          </cell>
          <cell r="T120" t="str">
            <v>Laptop</v>
          </cell>
          <cell r="U120" t="str">
            <v>Electronics</v>
          </cell>
          <cell r="V120" t="str">
            <v>Average</v>
          </cell>
          <cell r="W120" t="str">
            <v>Average</v>
          </cell>
          <cell r="X120" t="str">
            <v>Express</v>
          </cell>
          <cell r="Y120">
            <v>2</v>
          </cell>
          <cell r="Z120">
            <v>2</v>
          </cell>
        </row>
        <row r="121">
          <cell r="A121">
            <v>9255871</v>
          </cell>
          <cell r="B121">
            <v>96814</v>
          </cell>
          <cell r="C121" t="str">
            <v>Michelle Bright</v>
          </cell>
          <cell r="D121" t="str">
            <v>Portsmouth</v>
          </cell>
          <cell r="E121" t="str">
            <v>England</v>
          </cell>
          <cell r="F121" t="str">
            <v>UK</v>
          </cell>
          <cell r="G121">
            <v>27</v>
          </cell>
          <cell r="H121">
            <v>27</v>
          </cell>
          <cell r="I121" t="str">
            <v>Male</v>
          </cell>
          <cell r="J121" t="str">
            <v>Male</v>
          </cell>
          <cell r="K121" t="str">
            <v>High</v>
          </cell>
          <cell r="L121" t="str">
            <v>Regular</v>
          </cell>
          <cell r="M121">
            <v>45327</v>
          </cell>
          <cell r="N121">
            <v>1</v>
          </cell>
          <cell r="O121">
            <v>1</v>
          </cell>
          <cell r="P121">
            <v>246.1520185</v>
          </cell>
          <cell r="Q121">
            <v>246.1520185</v>
          </cell>
          <cell r="R121" t="str">
            <v>Electronics</v>
          </cell>
          <cell r="S121" t="str">
            <v>Electronics</v>
          </cell>
          <cell r="T121" t="str">
            <v>Laptop</v>
          </cell>
          <cell r="U121" t="str">
            <v>Electronics</v>
          </cell>
          <cell r="V121" t="str">
            <v>Bad</v>
          </cell>
          <cell r="W121" t="str">
            <v>Bad</v>
          </cell>
          <cell r="X121" t="str">
            <v>Standard</v>
          </cell>
          <cell r="Y121">
            <v>1</v>
          </cell>
          <cell r="Z121">
            <v>1</v>
          </cell>
        </row>
        <row r="122">
          <cell r="A122">
            <v>3997195</v>
          </cell>
          <cell r="B122">
            <v>95592</v>
          </cell>
          <cell r="C122" t="str">
            <v>Carlos Stanley</v>
          </cell>
          <cell r="D122" t="str">
            <v>Portsmouth</v>
          </cell>
          <cell r="E122" t="str">
            <v>England</v>
          </cell>
          <cell r="F122" t="str">
            <v>UK</v>
          </cell>
          <cell r="G122">
            <v>41</v>
          </cell>
          <cell r="H122">
            <v>41</v>
          </cell>
          <cell r="I122" t="str">
            <v>Male</v>
          </cell>
          <cell r="J122" t="str">
            <v>Male</v>
          </cell>
          <cell r="K122" t="str">
            <v>Low</v>
          </cell>
          <cell r="L122" t="str">
            <v>Regular</v>
          </cell>
          <cell r="M122">
            <v>45174</v>
          </cell>
          <cell r="N122">
            <v>3</v>
          </cell>
          <cell r="O122">
            <v>3</v>
          </cell>
          <cell r="P122">
            <v>20.716516729999999</v>
          </cell>
          <cell r="Q122">
            <v>62.149550179999999</v>
          </cell>
          <cell r="R122" t="str">
            <v>Grocery</v>
          </cell>
          <cell r="S122" t="str">
            <v>Grocery</v>
          </cell>
          <cell r="T122" t="str">
            <v>Chocolate</v>
          </cell>
          <cell r="U122" t="str">
            <v>Grocery</v>
          </cell>
          <cell r="V122" t="str">
            <v>Average</v>
          </cell>
          <cell r="W122" t="str">
            <v>Average</v>
          </cell>
          <cell r="X122" t="str">
            <v>Express</v>
          </cell>
          <cell r="Y122">
            <v>2</v>
          </cell>
          <cell r="Z122">
            <v>2</v>
          </cell>
        </row>
        <row r="123">
          <cell r="A123">
            <v>9366120</v>
          </cell>
          <cell r="B123">
            <v>90603</v>
          </cell>
          <cell r="C123" t="str">
            <v>Kristen Vazquez</v>
          </cell>
          <cell r="D123" t="str">
            <v>Portsmouth</v>
          </cell>
          <cell r="E123" t="str">
            <v>England</v>
          </cell>
          <cell r="F123" t="str">
            <v>UK</v>
          </cell>
          <cell r="G123">
            <v>56</v>
          </cell>
          <cell r="H123">
            <v>56</v>
          </cell>
          <cell r="I123" t="str">
            <v>Female</v>
          </cell>
          <cell r="J123" t="str">
            <v>Female</v>
          </cell>
          <cell r="K123" t="str">
            <v>High</v>
          </cell>
          <cell r="L123" t="str">
            <v>Regular</v>
          </cell>
          <cell r="M123">
            <v>45004</v>
          </cell>
          <cell r="N123">
            <v>9</v>
          </cell>
          <cell r="O123">
            <v>9</v>
          </cell>
          <cell r="P123">
            <v>94.332139359999999</v>
          </cell>
          <cell r="Q123">
            <v>848.98925429999997</v>
          </cell>
          <cell r="R123" t="str">
            <v>Grocery</v>
          </cell>
          <cell r="S123" t="str">
            <v>Grocery</v>
          </cell>
          <cell r="T123" t="str">
            <v>Snacks</v>
          </cell>
          <cell r="U123" t="str">
            <v>Grocery</v>
          </cell>
          <cell r="V123" t="str">
            <v>Average</v>
          </cell>
          <cell r="W123" t="str">
            <v>Average</v>
          </cell>
          <cell r="X123" t="str">
            <v>Standard</v>
          </cell>
          <cell r="Y123">
            <v>2</v>
          </cell>
          <cell r="Z123">
            <v>2</v>
          </cell>
        </row>
        <row r="124">
          <cell r="A124">
            <v>5419578</v>
          </cell>
          <cell r="B124">
            <v>88294</v>
          </cell>
          <cell r="C124" t="str">
            <v>Rhonda Parsons</v>
          </cell>
          <cell r="D124" t="str">
            <v>Portsmouth</v>
          </cell>
          <cell r="E124" t="str">
            <v>England</v>
          </cell>
          <cell r="F124" t="str">
            <v>UK</v>
          </cell>
          <cell r="G124">
            <v>64</v>
          </cell>
          <cell r="H124">
            <v>64</v>
          </cell>
          <cell r="I124" t="str">
            <v>Male</v>
          </cell>
          <cell r="J124" t="str">
            <v>Male</v>
          </cell>
          <cell r="K124" t="str">
            <v>Medium</v>
          </cell>
          <cell r="L124" t="str">
            <v>Regular</v>
          </cell>
          <cell r="M124">
            <v>45092</v>
          </cell>
          <cell r="N124">
            <v>7</v>
          </cell>
          <cell r="O124">
            <v>7</v>
          </cell>
          <cell r="P124">
            <v>423.61308450000001</v>
          </cell>
          <cell r="Q124">
            <v>2965.2915910000002</v>
          </cell>
          <cell r="R124" t="str">
            <v>Grocery</v>
          </cell>
          <cell r="S124" t="str">
            <v>Grocery</v>
          </cell>
          <cell r="T124" t="str">
            <v>Juice</v>
          </cell>
          <cell r="U124" t="str">
            <v>Grocery</v>
          </cell>
          <cell r="V124" t="str">
            <v>Bad</v>
          </cell>
          <cell r="W124" t="str">
            <v>Bad</v>
          </cell>
          <cell r="X124" t="str">
            <v>Standard</v>
          </cell>
          <cell r="Y124">
            <v>1</v>
          </cell>
          <cell r="Z124">
            <v>1</v>
          </cell>
        </row>
        <row r="125">
          <cell r="A125">
            <v>7361679</v>
          </cell>
          <cell r="B125">
            <v>47748</v>
          </cell>
          <cell r="C125" t="str">
            <v>Alexis Smith</v>
          </cell>
          <cell r="D125" t="str">
            <v>Portsmouth</v>
          </cell>
          <cell r="E125" t="str">
            <v>England</v>
          </cell>
          <cell r="F125" t="str">
            <v>UK</v>
          </cell>
          <cell r="G125">
            <v>39</v>
          </cell>
          <cell r="H125">
            <v>39</v>
          </cell>
          <cell r="I125" t="str">
            <v>Male</v>
          </cell>
          <cell r="J125" t="str">
            <v>Male</v>
          </cell>
          <cell r="K125" t="str">
            <v>Medium</v>
          </cell>
          <cell r="L125" t="str">
            <v>Regular</v>
          </cell>
          <cell r="M125">
            <v>44990</v>
          </cell>
          <cell r="N125">
            <v>10</v>
          </cell>
          <cell r="O125">
            <v>10</v>
          </cell>
          <cell r="P125">
            <v>300.26844160000002</v>
          </cell>
          <cell r="Q125">
            <v>3002.6844160000001</v>
          </cell>
          <cell r="R125" t="str">
            <v>Clothing</v>
          </cell>
          <cell r="S125" t="str">
            <v>Clothing</v>
          </cell>
          <cell r="T125" t="str">
            <v>Jacket</v>
          </cell>
          <cell r="U125" t="str">
            <v>Clothing</v>
          </cell>
          <cell r="V125"/>
          <cell r="W125" t="str">
            <v>Unknown</v>
          </cell>
          <cell r="X125" t="str">
            <v>Standard</v>
          </cell>
          <cell r="Y125"/>
          <cell r="Z125">
            <v>2.75</v>
          </cell>
        </row>
        <row r="126">
          <cell r="A126">
            <v>7850231</v>
          </cell>
          <cell r="B126">
            <v>84982</v>
          </cell>
          <cell r="C126" t="str">
            <v>Sylvia Garcia</v>
          </cell>
          <cell r="D126" t="str">
            <v>Portsmouth</v>
          </cell>
          <cell r="E126" t="str">
            <v>England</v>
          </cell>
          <cell r="F126" t="str">
            <v>UK</v>
          </cell>
          <cell r="G126">
            <v>68</v>
          </cell>
          <cell r="H126">
            <v>68</v>
          </cell>
          <cell r="I126" t="str">
            <v>Female</v>
          </cell>
          <cell r="J126" t="str">
            <v>Female</v>
          </cell>
          <cell r="K126" t="str">
            <v>Low</v>
          </cell>
          <cell r="L126" t="str">
            <v>Regular</v>
          </cell>
          <cell r="M126">
            <v>45297</v>
          </cell>
          <cell r="N126">
            <v>2</v>
          </cell>
          <cell r="O126">
            <v>2</v>
          </cell>
          <cell r="P126">
            <v>98.220574679999999</v>
          </cell>
          <cell r="Q126">
            <v>196.4411494</v>
          </cell>
          <cell r="R126" t="str">
            <v>Electronics</v>
          </cell>
          <cell r="S126" t="str">
            <v>Electronics</v>
          </cell>
          <cell r="T126" t="str">
            <v>Television</v>
          </cell>
          <cell r="U126" t="str">
            <v>Electronics</v>
          </cell>
          <cell r="V126" t="str">
            <v>Bad</v>
          </cell>
          <cell r="W126" t="str">
            <v>Bad</v>
          </cell>
          <cell r="X126" t="str">
            <v>Same-Day</v>
          </cell>
          <cell r="Y126">
            <v>1</v>
          </cell>
          <cell r="Z126">
            <v>1</v>
          </cell>
        </row>
        <row r="127">
          <cell r="A127">
            <v>5943482</v>
          </cell>
          <cell r="B127">
            <v>31054</v>
          </cell>
          <cell r="C127" t="str">
            <v>Judy Green</v>
          </cell>
          <cell r="D127" t="str">
            <v>Portsmouth</v>
          </cell>
          <cell r="E127" t="str">
            <v>England</v>
          </cell>
          <cell r="F127" t="str">
            <v>UK</v>
          </cell>
          <cell r="G127">
            <v>56</v>
          </cell>
          <cell r="H127">
            <v>56</v>
          </cell>
          <cell r="I127" t="str">
            <v>Female</v>
          </cell>
          <cell r="J127" t="str">
            <v>Female</v>
          </cell>
          <cell r="K127" t="str">
            <v>Medium</v>
          </cell>
          <cell r="L127" t="str">
            <v>Regular</v>
          </cell>
          <cell r="M127">
            <v>45275</v>
          </cell>
          <cell r="N127">
            <v>9</v>
          </cell>
          <cell r="O127">
            <v>9</v>
          </cell>
          <cell r="P127">
            <v>167.73378539999999</v>
          </cell>
          <cell r="Q127">
            <v>1509.6040680000001</v>
          </cell>
          <cell r="R127" t="str">
            <v>Home Decor</v>
          </cell>
          <cell r="S127" t="str">
            <v>Home Decor</v>
          </cell>
          <cell r="T127" t="str">
            <v>Furniture</v>
          </cell>
          <cell r="U127" t="str">
            <v>Home Decor</v>
          </cell>
          <cell r="V127" t="str">
            <v>Good</v>
          </cell>
          <cell r="W127" t="str">
            <v>Good</v>
          </cell>
          <cell r="X127" t="str">
            <v>Express</v>
          </cell>
          <cell r="Y127">
            <v>3</v>
          </cell>
          <cell r="Z127">
            <v>3</v>
          </cell>
        </row>
        <row r="128">
          <cell r="A128">
            <v>7567107</v>
          </cell>
          <cell r="B128">
            <v>27353</v>
          </cell>
          <cell r="C128" t="str">
            <v>Mrs. Maria Patrick</v>
          </cell>
          <cell r="D128" t="str">
            <v>Portsmouth</v>
          </cell>
          <cell r="E128" t="str">
            <v>England</v>
          </cell>
          <cell r="F128" t="str">
            <v>UK</v>
          </cell>
          <cell r="G128">
            <v>60</v>
          </cell>
          <cell r="H128">
            <v>60</v>
          </cell>
          <cell r="I128" t="str">
            <v>Female</v>
          </cell>
          <cell r="J128" t="str">
            <v>Female</v>
          </cell>
          <cell r="K128" t="str">
            <v>Low</v>
          </cell>
          <cell r="L128" t="str">
            <v>Regular</v>
          </cell>
          <cell r="M128">
            <v>45229</v>
          </cell>
          <cell r="N128">
            <v>1</v>
          </cell>
          <cell r="O128">
            <v>1</v>
          </cell>
          <cell r="P128">
            <v>180.1567737</v>
          </cell>
          <cell r="Q128">
            <v>180.1567737</v>
          </cell>
          <cell r="R128" t="str">
            <v>Books</v>
          </cell>
          <cell r="S128" t="str">
            <v>Books</v>
          </cell>
          <cell r="T128" t="str">
            <v>Literature</v>
          </cell>
          <cell r="U128" t="str">
            <v>Books</v>
          </cell>
          <cell r="V128" t="str">
            <v>Good</v>
          </cell>
          <cell r="W128" t="str">
            <v>Good</v>
          </cell>
          <cell r="X128" t="str">
            <v>Same-Day</v>
          </cell>
          <cell r="Y128">
            <v>3</v>
          </cell>
          <cell r="Z128">
            <v>3</v>
          </cell>
        </row>
        <row r="129">
          <cell r="A129">
            <v>5245038</v>
          </cell>
          <cell r="B129">
            <v>52641</v>
          </cell>
          <cell r="C129" t="str">
            <v>Andrea Martin</v>
          </cell>
          <cell r="D129" t="str">
            <v>Portsmouth</v>
          </cell>
          <cell r="E129" t="str">
            <v>England</v>
          </cell>
          <cell r="F129" t="str">
            <v>UK</v>
          </cell>
          <cell r="G129">
            <v>48</v>
          </cell>
          <cell r="H129">
            <v>48</v>
          </cell>
          <cell r="I129" t="str">
            <v>Male</v>
          </cell>
          <cell r="J129" t="str">
            <v>Male</v>
          </cell>
          <cell r="K129" t="str">
            <v>High</v>
          </cell>
          <cell r="L129" t="str">
            <v>Regular</v>
          </cell>
          <cell r="M129">
            <v>45177</v>
          </cell>
          <cell r="N129">
            <v>7</v>
          </cell>
          <cell r="O129">
            <v>7</v>
          </cell>
          <cell r="P129">
            <v>12.480915939999999</v>
          </cell>
          <cell r="Q129">
            <v>87.366411549999995</v>
          </cell>
          <cell r="R129" t="str">
            <v>Home Decor</v>
          </cell>
          <cell r="S129" t="str">
            <v>Home Decor</v>
          </cell>
          <cell r="T129" t="str">
            <v>Decorations</v>
          </cell>
          <cell r="U129" t="str">
            <v>Home Decor</v>
          </cell>
          <cell r="V129" t="str">
            <v>Average</v>
          </cell>
          <cell r="W129" t="str">
            <v>Average</v>
          </cell>
          <cell r="X129" t="str">
            <v>Express</v>
          </cell>
          <cell r="Y129">
            <v>2</v>
          </cell>
          <cell r="Z129">
            <v>2</v>
          </cell>
        </row>
        <row r="130">
          <cell r="A130">
            <v>9334981</v>
          </cell>
          <cell r="B130">
            <v>71681</v>
          </cell>
          <cell r="C130" t="str">
            <v>Kyle Moreno</v>
          </cell>
          <cell r="D130" t="str">
            <v>Portsmouth</v>
          </cell>
          <cell r="E130" t="str">
            <v>England</v>
          </cell>
          <cell r="F130" t="str">
            <v>UK</v>
          </cell>
          <cell r="G130">
            <v>49</v>
          </cell>
          <cell r="H130">
            <v>49</v>
          </cell>
          <cell r="I130" t="str">
            <v>Male</v>
          </cell>
          <cell r="J130" t="str">
            <v>Male</v>
          </cell>
          <cell r="K130" t="str">
            <v>Medium</v>
          </cell>
          <cell r="L130" t="str">
            <v>Regular</v>
          </cell>
          <cell r="M130">
            <v>45180</v>
          </cell>
          <cell r="N130">
            <v>5</v>
          </cell>
          <cell r="O130">
            <v>5</v>
          </cell>
          <cell r="P130">
            <v>318.44965889999997</v>
          </cell>
          <cell r="Q130">
            <v>1592.248294</v>
          </cell>
          <cell r="R130" t="str">
            <v>Clothing</v>
          </cell>
          <cell r="S130" t="str">
            <v>Clothing</v>
          </cell>
          <cell r="T130" t="str">
            <v>T-shirt</v>
          </cell>
          <cell r="U130" t="str">
            <v>Clothing</v>
          </cell>
          <cell r="V130" t="str">
            <v>Average</v>
          </cell>
          <cell r="W130" t="str">
            <v>Average</v>
          </cell>
          <cell r="X130" t="str">
            <v>Same-Day</v>
          </cell>
          <cell r="Y130">
            <v>2</v>
          </cell>
          <cell r="Z130">
            <v>2</v>
          </cell>
        </row>
        <row r="131">
          <cell r="A131">
            <v>1804470</v>
          </cell>
          <cell r="B131">
            <v>65334</v>
          </cell>
          <cell r="C131" t="str">
            <v>Sherri Chambers</v>
          </cell>
          <cell r="D131" t="str">
            <v>Portsmouth</v>
          </cell>
          <cell r="E131" t="str">
            <v>England</v>
          </cell>
          <cell r="F131" t="str">
            <v>UK</v>
          </cell>
          <cell r="G131">
            <v>32</v>
          </cell>
          <cell r="H131">
            <v>32</v>
          </cell>
          <cell r="I131" t="str">
            <v>Female</v>
          </cell>
          <cell r="J131" t="str">
            <v>Female</v>
          </cell>
          <cell r="K131" t="str">
            <v>Medium</v>
          </cell>
          <cell r="L131" t="str">
            <v>Regular</v>
          </cell>
          <cell r="M131">
            <v>45245</v>
          </cell>
          <cell r="N131">
            <v>3</v>
          </cell>
          <cell r="O131">
            <v>3</v>
          </cell>
          <cell r="P131">
            <v>367.45447890000003</v>
          </cell>
          <cell r="Q131">
            <v>1102.363437</v>
          </cell>
          <cell r="R131" t="str">
            <v>Books</v>
          </cell>
          <cell r="S131" t="str">
            <v>Books</v>
          </cell>
          <cell r="T131" t="str">
            <v>Children's</v>
          </cell>
          <cell r="U131" t="str">
            <v>Books</v>
          </cell>
          <cell r="V131" t="str">
            <v>Average</v>
          </cell>
          <cell r="W131" t="str">
            <v>Average</v>
          </cell>
          <cell r="X131" t="str">
            <v>Express</v>
          </cell>
          <cell r="Y131">
            <v>2</v>
          </cell>
          <cell r="Z131">
            <v>2</v>
          </cell>
        </row>
        <row r="132">
          <cell r="A132">
            <v>6135513</v>
          </cell>
          <cell r="B132">
            <v>83016</v>
          </cell>
          <cell r="C132" t="str">
            <v>Shannon Lopez MD</v>
          </cell>
          <cell r="D132" t="str">
            <v>Portsmouth</v>
          </cell>
          <cell r="E132" t="str">
            <v>England</v>
          </cell>
          <cell r="F132" t="str">
            <v>UK</v>
          </cell>
          <cell r="G132">
            <v>32</v>
          </cell>
          <cell r="H132">
            <v>32</v>
          </cell>
          <cell r="I132" t="str">
            <v>Female</v>
          </cell>
          <cell r="J132" t="str">
            <v>Female</v>
          </cell>
          <cell r="K132" t="str">
            <v>Low</v>
          </cell>
          <cell r="L132" t="str">
            <v>Regular</v>
          </cell>
          <cell r="M132">
            <v>45279</v>
          </cell>
          <cell r="N132">
            <v>5</v>
          </cell>
          <cell r="O132">
            <v>5</v>
          </cell>
          <cell r="P132">
            <v>62.163534200000001</v>
          </cell>
          <cell r="Q132">
            <v>310.81767100000002</v>
          </cell>
          <cell r="R132" t="str">
            <v>Grocery</v>
          </cell>
          <cell r="S132" t="str">
            <v>Grocery</v>
          </cell>
          <cell r="T132" t="str">
            <v>Water</v>
          </cell>
          <cell r="U132" t="str">
            <v>Grocery</v>
          </cell>
          <cell r="V132" t="str">
            <v>Average</v>
          </cell>
          <cell r="W132" t="str">
            <v>Average</v>
          </cell>
          <cell r="X132" t="str">
            <v>Same-Day</v>
          </cell>
          <cell r="Y132">
            <v>2</v>
          </cell>
          <cell r="Z132">
            <v>2</v>
          </cell>
        </row>
        <row r="133">
          <cell r="A133">
            <v>1705974</v>
          </cell>
          <cell r="B133">
            <v>40624</v>
          </cell>
          <cell r="C133" t="str">
            <v>Trevor Walker</v>
          </cell>
          <cell r="D133" t="str">
            <v>Portsmouth</v>
          </cell>
          <cell r="E133" t="str">
            <v>England</v>
          </cell>
          <cell r="F133" t="str">
            <v>UK</v>
          </cell>
          <cell r="G133">
            <v>18</v>
          </cell>
          <cell r="H133">
            <v>18</v>
          </cell>
          <cell r="I133" t="str">
            <v>Male</v>
          </cell>
          <cell r="J133" t="str">
            <v>Male</v>
          </cell>
          <cell r="K133" t="str">
            <v>Medium</v>
          </cell>
          <cell r="L133" t="str">
            <v>Regular</v>
          </cell>
          <cell r="M133">
            <v>44998</v>
          </cell>
          <cell r="N133">
            <v>2</v>
          </cell>
          <cell r="O133">
            <v>2</v>
          </cell>
          <cell r="P133">
            <v>360.6269886</v>
          </cell>
          <cell r="Q133">
            <v>721.25397729999997</v>
          </cell>
          <cell r="R133" t="str">
            <v>Grocery</v>
          </cell>
          <cell r="S133" t="str">
            <v>Grocery</v>
          </cell>
          <cell r="T133" t="str">
            <v>Soft Drink</v>
          </cell>
          <cell r="U133" t="str">
            <v>Grocery</v>
          </cell>
          <cell r="V133" t="str">
            <v>Excellent</v>
          </cell>
          <cell r="W133" t="str">
            <v>Excellent</v>
          </cell>
          <cell r="X133" t="str">
            <v>Standard</v>
          </cell>
          <cell r="Y133">
            <v>5</v>
          </cell>
          <cell r="Z133">
            <v>5</v>
          </cell>
        </row>
        <row r="134">
          <cell r="A134">
            <v>5343974</v>
          </cell>
          <cell r="B134">
            <v>66428</v>
          </cell>
          <cell r="C134" t="str">
            <v>Jacob Arnold</v>
          </cell>
          <cell r="D134" t="str">
            <v>Portsmouth</v>
          </cell>
          <cell r="E134" t="str">
            <v>England</v>
          </cell>
          <cell r="F134" t="str">
            <v>UK</v>
          </cell>
          <cell r="G134">
            <v>48</v>
          </cell>
          <cell r="H134">
            <v>48</v>
          </cell>
          <cell r="I134" t="str">
            <v>Female</v>
          </cell>
          <cell r="J134" t="str">
            <v>Female</v>
          </cell>
          <cell r="K134" t="str">
            <v>Medium</v>
          </cell>
          <cell r="L134" t="str">
            <v>Regular</v>
          </cell>
          <cell r="M134">
            <v>45258</v>
          </cell>
          <cell r="N134">
            <v>1</v>
          </cell>
          <cell r="O134">
            <v>1</v>
          </cell>
          <cell r="P134">
            <v>315.7222744</v>
          </cell>
          <cell r="Q134">
            <v>315.7222744</v>
          </cell>
          <cell r="R134" t="str">
            <v>Grocery</v>
          </cell>
          <cell r="S134" t="str">
            <v>Grocery</v>
          </cell>
          <cell r="T134" t="str">
            <v>Juice</v>
          </cell>
          <cell r="U134" t="str">
            <v>Grocery</v>
          </cell>
          <cell r="V134" t="str">
            <v>Bad</v>
          </cell>
          <cell r="W134" t="str">
            <v>Bad</v>
          </cell>
          <cell r="X134" t="str">
            <v>Standard</v>
          </cell>
          <cell r="Y134">
            <v>1</v>
          </cell>
          <cell r="Z134">
            <v>1</v>
          </cell>
        </row>
        <row r="135">
          <cell r="A135">
            <v>8273419</v>
          </cell>
          <cell r="B135">
            <v>34145</v>
          </cell>
          <cell r="C135" t="str">
            <v>Matthew Brown</v>
          </cell>
          <cell r="D135" t="str">
            <v>Portsmouth</v>
          </cell>
          <cell r="E135" t="str">
            <v>England</v>
          </cell>
          <cell r="F135" t="str">
            <v>UK</v>
          </cell>
          <cell r="G135">
            <v>69</v>
          </cell>
          <cell r="H135">
            <v>69</v>
          </cell>
          <cell r="I135" t="str">
            <v>Male</v>
          </cell>
          <cell r="J135" t="str">
            <v>Male</v>
          </cell>
          <cell r="K135" t="str">
            <v>Medium</v>
          </cell>
          <cell r="L135" t="str">
            <v>Regular</v>
          </cell>
          <cell r="M135">
            <v>45262</v>
          </cell>
          <cell r="N135">
            <v>9</v>
          </cell>
          <cell r="O135">
            <v>9</v>
          </cell>
          <cell r="P135">
            <v>183.23112699999999</v>
          </cell>
          <cell r="Q135">
            <v>1649.0801429999999</v>
          </cell>
          <cell r="R135" t="str">
            <v>Home Decor</v>
          </cell>
          <cell r="S135" t="str">
            <v>Home Decor</v>
          </cell>
          <cell r="T135" t="str">
            <v>Furniture</v>
          </cell>
          <cell r="U135" t="str">
            <v>Home Decor</v>
          </cell>
          <cell r="V135" t="str">
            <v>Bad</v>
          </cell>
          <cell r="W135" t="str">
            <v>Bad</v>
          </cell>
          <cell r="X135" t="str">
            <v>Express</v>
          </cell>
          <cell r="Y135">
            <v>1</v>
          </cell>
          <cell r="Z135">
            <v>1</v>
          </cell>
        </row>
        <row r="136">
          <cell r="A136">
            <v>3134820</v>
          </cell>
          <cell r="B136">
            <v>13629</v>
          </cell>
          <cell r="C136" t="str">
            <v>Erica Humphrey</v>
          </cell>
          <cell r="D136" t="str">
            <v>Portsmouth</v>
          </cell>
          <cell r="E136" t="str">
            <v>England</v>
          </cell>
          <cell r="F136" t="str">
            <v>UK</v>
          </cell>
          <cell r="G136">
            <v>48</v>
          </cell>
          <cell r="H136">
            <v>48</v>
          </cell>
          <cell r="I136" t="str">
            <v>Male</v>
          </cell>
          <cell r="J136" t="str">
            <v>Male</v>
          </cell>
          <cell r="K136" t="str">
            <v>Medium</v>
          </cell>
          <cell r="L136" t="str">
            <v>Regular</v>
          </cell>
          <cell r="M136">
            <v>45183</v>
          </cell>
          <cell r="N136">
            <v>5</v>
          </cell>
          <cell r="O136">
            <v>5</v>
          </cell>
          <cell r="P136">
            <v>291.43283730000002</v>
          </cell>
          <cell r="Q136">
            <v>1457.1641870000001</v>
          </cell>
          <cell r="R136" t="str">
            <v>Home Decor</v>
          </cell>
          <cell r="S136" t="str">
            <v>Home Decor</v>
          </cell>
          <cell r="T136" t="str">
            <v>Lighting</v>
          </cell>
          <cell r="U136" t="str">
            <v>Home Decor</v>
          </cell>
          <cell r="V136" t="str">
            <v>Excellent</v>
          </cell>
          <cell r="W136" t="str">
            <v>Excellent</v>
          </cell>
          <cell r="X136" t="str">
            <v>Standard</v>
          </cell>
          <cell r="Y136">
            <v>4</v>
          </cell>
          <cell r="Z136">
            <v>4</v>
          </cell>
        </row>
        <row r="137">
          <cell r="A137">
            <v>3528652</v>
          </cell>
          <cell r="B137">
            <v>26940</v>
          </cell>
          <cell r="C137" t="str">
            <v>Zachary Abbott</v>
          </cell>
          <cell r="D137" t="str">
            <v>Portsmouth</v>
          </cell>
          <cell r="E137" t="str">
            <v>England</v>
          </cell>
          <cell r="F137" t="str">
            <v>UK</v>
          </cell>
          <cell r="G137">
            <v>68</v>
          </cell>
          <cell r="H137">
            <v>68</v>
          </cell>
          <cell r="I137" t="str">
            <v>Male</v>
          </cell>
          <cell r="J137" t="str">
            <v>Male</v>
          </cell>
          <cell r="K137" t="str">
            <v>Medium</v>
          </cell>
          <cell r="L137" t="str">
            <v>Regular</v>
          </cell>
          <cell r="M137">
            <v>45122</v>
          </cell>
          <cell r="N137">
            <v>8</v>
          </cell>
          <cell r="O137">
            <v>8</v>
          </cell>
          <cell r="P137">
            <v>492.54553349999998</v>
          </cell>
          <cell r="Q137">
            <v>3940.3642679999998</v>
          </cell>
          <cell r="R137" t="str">
            <v>Clothing</v>
          </cell>
          <cell r="S137" t="str">
            <v>Clothing</v>
          </cell>
          <cell r="T137" t="str">
            <v>Shoes</v>
          </cell>
          <cell r="U137" t="str">
            <v>Clothing</v>
          </cell>
          <cell r="V137" t="str">
            <v>Good</v>
          </cell>
          <cell r="W137" t="str">
            <v>Good</v>
          </cell>
          <cell r="X137" t="str">
            <v>Standard</v>
          </cell>
          <cell r="Y137">
            <v>4</v>
          </cell>
          <cell r="Z137">
            <v>4</v>
          </cell>
        </row>
        <row r="138">
          <cell r="A138">
            <v>4946535</v>
          </cell>
          <cell r="B138">
            <v>73735</v>
          </cell>
          <cell r="C138" t="str">
            <v>Kathleen Garcia</v>
          </cell>
          <cell r="D138" t="str">
            <v>Portsmouth</v>
          </cell>
          <cell r="E138" t="str">
            <v>England</v>
          </cell>
          <cell r="F138" t="str">
            <v>UK</v>
          </cell>
          <cell r="G138">
            <v>58</v>
          </cell>
          <cell r="H138">
            <v>58</v>
          </cell>
          <cell r="I138" t="str">
            <v>Male</v>
          </cell>
          <cell r="J138" t="str">
            <v>Male</v>
          </cell>
          <cell r="K138" t="str">
            <v>Medium</v>
          </cell>
          <cell r="L138" t="str">
            <v>Regular</v>
          </cell>
          <cell r="M138">
            <v>45186</v>
          </cell>
          <cell r="N138">
            <v>6</v>
          </cell>
          <cell r="O138">
            <v>6</v>
          </cell>
          <cell r="P138">
            <v>493.30151499999999</v>
          </cell>
          <cell r="Q138">
            <v>2959.8090900000002</v>
          </cell>
          <cell r="R138" t="str">
            <v>Electronics</v>
          </cell>
          <cell r="S138" t="str">
            <v>Electronics</v>
          </cell>
          <cell r="T138" t="str">
            <v>Television</v>
          </cell>
          <cell r="U138" t="str">
            <v>Electronics</v>
          </cell>
          <cell r="V138" t="str">
            <v>Good</v>
          </cell>
          <cell r="W138" t="str">
            <v>Good</v>
          </cell>
          <cell r="X138" t="str">
            <v>Standard</v>
          </cell>
          <cell r="Y138">
            <v>4</v>
          </cell>
          <cell r="Z138">
            <v>4</v>
          </cell>
        </row>
        <row r="139">
          <cell r="A139">
            <v>3632603</v>
          </cell>
          <cell r="B139">
            <v>96811</v>
          </cell>
          <cell r="C139" t="str">
            <v>Sarah Harris</v>
          </cell>
          <cell r="D139" t="str">
            <v>Portsmouth</v>
          </cell>
          <cell r="E139" t="str">
            <v>England</v>
          </cell>
          <cell r="F139" t="str">
            <v>UK</v>
          </cell>
          <cell r="G139">
            <v>44</v>
          </cell>
          <cell r="H139">
            <v>44</v>
          </cell>
          <cell r="I139" t="str">
            <v>Female</v>
          </cell>
          <cell r="J139" t="str">
            <v>Female</v>
          </cell>
          <cell r="K139" t="str">
            <v>Medium</v>
          </cell>
          <cell r="L139" t="str">
            <v>Regular</v>
          </cell>
          <cell r="M139">
            <v>45299</v>
          </cell>
          <cell r="N139">
            <v>2</v>
          </cell>
          <cell r="O139">
            <v>2</v>
          </cell>
          <cell r="P139">
            <v>457.25010789999999</v>
          </cell>
          <cell r="Q139">
            <v>914.50021579999998</v>
          </cell>
          <cell r="R139" t="str">
            <v>Home Decor</v>
          </cell>
          <cell r="S139" t="str">
            <v>Home Decor</v>
          </cell>
          <cell r="T139" t="str">
            <v>Bathroom</v>
          </cell>
          <cell r="U139" t="str">
            <v>Home Decor</v>
          </cell>
          <cell r="V139" t="str">
            <v>Good</v>
          </cell>
          <cell r="W139" t="str">
            <v>Good</v>
          </cell>
          <cell r="X139" t="str">
            <v>Standard</v>
          </cell>
          <cell r="Y139">
            <v>3</v>
          </cell>
          <cell r="Z139">
            <v>3</v>
          </cell>
        </row>
        <row r="140">
          <cell r="A140">
            <v>9484414</v>
          </cell>
          <cell r="B140">
            <v>50056</v>
          </cell>
          <cell r="C140" t="str">
            <v>Sheryl Smith</v>
          </cell>
          <cell r="D140" t="str">
            <v>Portsmouth</v>
          </cell>
          <cell r="E140" t="str">
            <v>England</v>
          </cell>
          <cell r="F140" t="str">
            <v>UK</v>
          </cell>
          <cell r="G140">
            <v>60</v>
          </cell>
          <cell r="H140">
            <v>60</v>
          </cell>
          <cell r="I140" t="str">
            <v>Male</v>
          </cell>
          <cell r="J140" t="str">
            <v>Male</v>
          </cell>
          <cell r="K140" t="str">
            <v>Low</v>
          </cell>
          <cell r="L140" t="str">
            <v>Regular</v>
          </cell>
          <cell r="M140">
            <v>45170</v>
          </cell>
          <cell r="N140">
            <v>6</v>
          </cell>
          <cell r="O140">
            <v>6</v>
          </cell>
          <cell r="P140">
            <v>380.30251049999998</v>
          </cell>
          <cell r="Q140">
            <v>2281.815063</v>
          </cell>
          <cell r="R140" t="str">
            <v>Books</v>
          </cell>
          <cell r="S140" t="str">
            <v>Books</v>
          </cell>
          <cell r="T140" t="str">
            <v>Fiction</v>
          </cell>
          <cell r="U140" t="str">
            <v>Books</v>
          </cell>
          <cell r="V140" t="str">
            <v>Good</v>
          </cell>
          <cell r="W140" t="str">
            <v>Good</v>
          </cell>
          <cell r="X140" t="str">
            <v>Express</v>
          </cell>
          <cell r="Y140">
            <v>3</v>
          </cell>
          <cell r="Z140">
            <v>3</v>
          </cell>
        </row>
        <row r="141">
          <cell r="A141">
            <v>9192381</v>
          </cell>
          <cell r="B141">
            <v>41835</v>
          </cell>
          <cell r="C141" t="str">
            <v>Christine Green PhD</v>
          </cell>
          <cell r="D141" t="str">
            <v>Portsmouth</v>
          </cell>
          <cell r="E141" t="str">
            <v>England</v>
          </cell>
          <cell r="F141" t="str">
            <v>UK</v>
          </cell>
          <cell r="G141">
            <v>33</v>
          </cell>
          <cell r="H141">
            <v>33</v>
          </cell>
          <cell r="I141" t="str">
            <v>Female</v>
          </cell>
          <cell r="J141" t="str">
            <v>Female</v>
          </cell>
          <cell r="K141" t="str">
            <v>Low</v>
          </cell>
          <cell r="L141" t="str">
            <v>Regular</v>
          </cell>
          <cell r="M141">
            <v>45013</v>
          </cell>
          <cell r="N141">
            <v>2</v>
          </cell>
          <cell r="O141">
            <v>2</v>
          </cell>
          <cell r="P141">
            <v>50.420540789999997</v>
          </cell>
          <cell r="Q141">
            <v>100.8410816</v>
          </cell>
          <cell r="R141" t="str">
            <v>Home Decor</v>
          </cell>
          <cell r="S141" t="str">
            <v>Home Decor</v>
          </cell>
          <cell r="T141" t="str">
            <v>Bedding</v>
          </cell>
          <cell r="U141" t="str">
            <v>Home Decor</v>
          </cell>
          <cell r="V141" t="str">
            <v>Good</v>
          </cell>
          <cell r="W141" t="str">
            <v>Good</v>
          </cell>
          <cell r="X141" t="str">
            <v>Express</v>
          </cell>
          <cell r="Y141">
            <v>4</v>
          </cell>
          <cell r="Z141">
            <v>4</v>
          </cell>
        </row>
        <row r="142">
          <cell r="A142">
            <v>9084403</v>
          </cell>
          <cell r="B142">
            <v>89815</v>
          </cell>
          <cell r="C142" t="str">
            <v>Richard Diaz</v>
          </cell>
          <cell r="D142" t="str">
            <v>Portsmouth</v>
          </cell>
          <cell r="E142" t="str">
            <v>England</v>
          </cell>
          <cell r="F142" t="str">
            <v>UK</v>
          </cell>
          <cell r="G142">
            <v>26</v>
          </cell>
          <cell r="H142">
            <v>26</v>
          </cell>
          <cell r="I142" t="str">
            <v>Male</v>
          </cell>
          <cell r="J142" t="str">
            <v>Male</v>
          </cell>
          <cell r="K142" t="str">
            <v>Low</v>
          </cell>
          <cell r="L142" t="str">
            <v>Regular</v>
          </cell>
          <cell r="M142">
            <v>45348</v>
          </cell>
          <cell r="N142">
            <v>3</v>
          </cell>
          <cell r="O142">
            <v>3</v>
          </cell>
          <cell r="P142">
            <v>291.40242050000001</v>
          </cell>
          <cell r="Q142">
            <v>874.20726139999999</v>
          </cell>
          <cell r="R142" t="str">
            <v>Books</v>
          </cell>
          <cell r="S142" t="str">
            <v>Books</v>
          </cell>
          <cell r="T142" t="str">
            <v>Fiction</v>
          </cell>
          <cell r="U142" t="str">
            <v>Books</v>
          </cell>
          <cell r="V142" t="str">
            <v>Excellent</v>
          </cell>
          <cell r="W142" t="str">
            <v>Excellent</v>
          </cell>
          <cell r="X142" t="str">
            <v>Standard</v>
          </cell>
          <cell r="Y142">
            <v>4</v>
          </cell>
          <cell r="Z142">
            <v>4</v>
          </cell>
        </row>
        <row r="143">
          <cell r="A143">
            <v>8871239</v>
          </cell>
          <cell r="B143">
            <v>84806</v>
          </cell>
          <cell r="C143" t="str">
            <v>George Salazar</v>
          </cell>
          <cell r="D143" t="str">
            <v>Portsmouth</v>
          </cell>
          <cell r="E143" t="str">
            <v>England</v>
          </cell>
          <cell r="F143" t="str">
            <v>UK</v>
          </cell>
          <cell r="G143">
            <v>60</v>
          </cell>
          <cell r="H143">
            <v>60</v>
          </cell>
          <cell r="I143" t="str">
            <v>Female</v>
          </cell>
          <cell r="J143" t="str">
            <v>Female</v>
          </cell>
          <cell r="K143" t="str">
            <v>Medium</v>
          </cell>
          <cell r="L143" t="str">
            <v>Regular</v>
          </cell>
          <cell r="M143">
            <v>45162</v>
          </cell>
          <cell r="N143">
            <v>4</v>
          </cell>
          <cell r="O143">
            <v>4</v>
          </cell>
          <cell r="P143">
            <v>123.0183684</v>
          </cell>
          <cell r="Q143">
            <v>492.0734736</v>
          </cell>
          <cell r="R143" t="str">
            <v>Home Decor</v>
          </cell>
          <cell r="S143" t="str">
            <v>Home Decor</v>
          </cell>
          <cell r="T143" t="str">
            <v>Decorations</v>
          </cell>
          <cell r="U143" t="str">
            <v>Home Decor</v>
          </cell>
          <cell r="V143" t="str">
            <v>Bad</v>
          </cell>
          <cell r="W143" t="str">
            <v>Bad</v>
          </cell>
          <cell r="X143" t="str">
            <v>Same-Day</v>
          </cell>
          <cell r="Y143">
            <v>1</v>
          </cell>
          <cell r="Z143">
            <v>1</v>
          </cell>
        </row>
        <row r="144">
          <cell r="A144">
            <v>5050125</v>
          </cell>
          <cell r="B144">
            <v>14196</v>
          </cell>
          <cell r="C144" t="str">
            <v>Michael Perkins</v>
          </cell>
          <cell r="D144" t="str">
            <v>Portsmouth</v>
          </cell>
          <cell r="E144" t="str">
            <v>England</v>
          </cell>
          <cell r="F144" t="str">
            <v>UK</v>
          </cell>
          <cell r="G144">
            <v>37</v>
          </cell>
          <cell r="H144">
            <v>37</v>
          </cell>
          <cell r="I144" t="str">
            <v>Male</v>
          </cell>
          <cell r="J144" t="str">
            <v>Male</v>
          </cell>
          <cell r="K144" t="str">
            <v>High</v>
          </cell>
          <cell r="L144" t="str">
            <v>Regular</v>
          </cell>
          <cell r="M144">
            <v>45181</v>
          </cell>
          <cell r="N144">
            <v>1</v>
          </cell>
          <cell r="O144">
            <v>1</v>
          </cell>
          <cell r="P144">
            <v>253.0541571</v>
          </cell>
          <cell r="Q144">
            <v>253.0541571</v>
          </cell>
          <cell r="R144" t="str">
            <v>Clothing</v>
          </cell>
          <cell r="S144" t="str">
            <v>Clothing</v>
          </cell>
          <cell r="T144" t="str">
            <v>Dress</v>
          </cell>
          <cell r="U144" t="str">
            <v>Clothing</v>
          </cell>
          <cell r="V144" t="str">
            <v>Average</v>
          </cell>
          <cell r="W144" t="str">
            <v>Average</v>
          </cell>
          <cell r="X144"/>
          <cell r="Y144">
            <v>2</v>
          </cell>
          <cell r="Z144">
            <v>2</v>
          </cell>
        </row>
        <row r="145">
          <cell r="A145">
            <v>2300962</v>
          </cell>
          <cell r="B145">
            <v>11602</v>
          </cell>
          <cell r="C145" t="str">
            <v>Elizabeth Jones</v>
          </cell>
          <cell r="D145" t="str">
            <v>Portsmouth</v>
          </cell>
          <cell r="E145" t="str">
            <v>England</v>
          </cell>
          <cell r="F145" t="str">
            <v>UK</v>
          </cell>
          <cell r="G145">
            <v>37</v>
          </cell>
          <cell r="H145">
            <v>37</v>
          </cell>
          <cell r="I145" t="str">
            <v>Male</v>
          </cell>
          <cell r="J145" t="str">
            <v>Male</v>
          </cell>
          <cell r="K145" t="str">
            <v>Low</v>
          </cell>
          <cell r="L145" t="str">
            <v>Regular</v>
          </cell>
          <cell r="M145">
            <v>45273</v>
          </cell>
          <cell r="N145">
            <v>4</v>
          </cell>
          <cell r="O145">
            <v>4</v>
          </cell>
          <cell r="P145">
            <v>126.8194883</v>
          </cell>
          <cell r="Q145">
            <v>507.27795309999999</v>
          </cell>
          <cell r="R145" t="str">
            <v>Electronics</v>
          </cell>
          <cell r="S145" t="str">
            <v>Electronics</v>
          </cell>
          <cell r="T145" t="str">
            <v>Headphones</v>
          </cell>
          <cell r="U145" t="str">
            <v>Electronics</v>
          </cell>
          <cell r="V145" t="str">
            <v>Excellent</v>
          </cell>
          <cell r="W145" t="str">
            <v>Excellent</v>
          </cell>
          <cell r="X145" t="str">
            <v>Express</v>
          </cell>
          <cell r="Y145">
            <v>4</v>
          </cell>
          <cell r="Z145">
            <v>4</v>
          </cell>
        </row>
        <row r="146">
          <cell r="A146">
            <v>6923123</v>
          </cell>
          <cell r="B146">
            <v>40667</v>
          </cell>
          <cell r="C146" t="str">
            <v>Elijah Yoder</v>
          </cell>
          <cell r="D146" t="str">
            <v>Portsmouth</v>
          </cell>
          <cell r="E146" t="str">
            <v>England</v>
          </cell>
          <cell r="F146" t="str">
            <v>UK</v>
          </cell>
          <cell r="G146">
            <v>66</v>
          </cell>
          <cell r="H146">
            <v>66</v>
          </cell>
          <cell r="I146" t="str">
            <v>Male</v>
          </cell>
          <cell r="J146" t="str">
            <v>Male</v>
          </cell>
          <cell r="K146" t="str">
            <v>Medium</v>
          </cell>
          <cell r="L146" t="str">
            <v>Regular</v>
          </cell>
          <cell r="M146">
            <v>45145</v>
          </cell>
          <cell r="N146">
            <v>3</v>
          </cell>
          <cell r="O146">
            <v>3</v>
          </cell>
          <cell r="P146">
            <v>49.25146702</v>
          </cell>
          <cell r="Q146">
            <v>147.7544011</v>
          </cell>
          <cell r="R146" t="str">
            <v>Home Decor</v>
          </cell>
          <cell r="S146" t="str">
            <v>Home Decor</v>
          </cell>
          <cell r="T146" t="str">
            <v>Furniture</v>
          </cell>
          <cell r="U146" t="str">
            <v>Home Decor</v>
          </cell>
          <cell r="V146" t="str">
            <v>Average</v>
          </cell>
          <cell r="W146" t="str">
            <v>Average</v>
          </cell>
          <cell r="X146" t="str">
            <v>Standard</v>
          </cell>
          <cell r="Y146">
            <v>2</v>
          </cell>
          <cell r="Z146">
            <v>2</v>
          </cell>
        </row>
        <row r="147">
          <cell r="A147">
            <v>6094546</v>
          </cell>
          <cell r="B147">
            <v>12223</v>
          </cell>
          <cell r="C147" t="str">
            <v>Michael Howe</v>
          </cell>
          <cell r="D147" t="str">
            <v>Portsmouth</v>
          </cell>
          <cell r="E147" t="str">
            <v>England</v>
          </cell>
          <cell r="F147" t="str">
            <v>UK</v>
          </cell>
          <cell r="G147">
            <v>46</v>
          </cell>
          <cell r="H147">
            <v>46</v>
          </cell>
          <cell r="I147" t="str">
            <v>Male</v>
          </cell>
          <cell r="J147" t="str">
            <v>Male</v>
          </cell>
          <cell r="K147" t="str">
            <v>High</v>
          </cell>
          <cell r="L147" t="str">
            <v>Regular</v>
          </cell>
          <cell r="M147">
            <v>45087</v>
          </cell>
          <cell r="N147">
            <v>6</v>
          </cell>
          <cell r="O147">
            <v>6</v>
          </cell>
          <cell r="P147">
            <v>167.52302639999999</v>
          </cell>
          <cell r="Q147">
            <v>1005.138159</v>
          </cell>
          <cell r="R147" t="str">
            <v>Clothing</v>
          </cell>
          <cell r="S147" t="str">
            <v>Clothing</v>
          </cell>
          <cell r="T147" t="str">
            <v>Jacket</v>
          </cell>
          <cell r="U147" t="str">
            <v>Clothing</v>
          </cell>
          <cell r="V147" t="str">
            <v>Excellent</v>
          </cell>
          <cell r="W147" t="str">
            <v>Excellent</v>
          </cell>
          <cell r="X147" t="str">
            <v>Express</v>
          </cell>
          <cell r="Y147">
            <v>4</v>
          </cell>
          <cell r="Z147">
            <v>4</v>
          </cell>
        </row>
        <row r="148">
          <cell r="A148">
            <v>2491876</v>
          </cell>
          <cell r="B148">
            <v>92174</v>
          </cell>
          <cell r="C148" t="str">
            <v>Whitney Adams</v>
          </cell>
          <cell r="D148" t="str">
            <v>Portsmouth</v>
          </cell>
          <cell r="E148" t="str">
            <v>England</v>
          </cell>
          <cell r="F148" t="str">
            <v>UK</v>
          </cell>
          <cell r="G148">
            <v>29</v>
          </cell>
          <cell r="H148">
            <v>29</v>
          </cell>
          <cell r="I148" t="str">
            <v>Male</v>
          </cell>
          <cell r="J148" t="str">
            <v>Male</v>
          </cell>
          <cell r="K148" t="str">
            <v>Medium</v>
          </cell>
          <cell r="L148" t="str">
            <v>Regular</v>
          </cell>
          <cell r="M148">
            <v>45051</v>
          </cell>
          <cell r="N148">
            <v>5</v>
          </cell>
          <cell r="O148">
            <v>5</v>
          </cell>
          <cell r="P148">
            <v>318.55460540000001</v>
          </cell>
          <cell r="Q148">
            <v>1592.773027</v>
          </cell>
          <cell r="R148" t="str">
            <v>Home Decor</v>
          </cell>
          <cell r="S148" t="str">
            <v>Home Decor</v>
          </cell>
          <cell r="T148" t="str">
            <v>Kitchen</v>
          </cell>
          <cell r="U148" t="str">
            <v>Home Decor</v>
          </cell>
          <cell r="V148" t="str">
            <v>Average</v>
          </cell>
          <cell r="W148" t="str">
            <v>Average</v>
          </cell>
          <cell r="X148" t="str">
            <v>Express</v>
          </cell>
          <cell r="Y148">
            <v>2</v>
          </cell>
          <cell r="Z148">
            <v>2</v>
          </cell>
        </row>
        <row r="149">
          <cell r="A149">
            <v>9528651</v>
          </cell>
          <cell r="B149">
            <v>70193</v>
          </cell>
          <cell r="C149" t="str">
            <v>Alexis Carlson</v>
          </cell>
          <cell r="D149" t="str">
            <v>Portsmouth</v>
          </cell>
          <cell r="E149" t="str">
            <v>England</v>
          </cell>
          <cell r="F149" t="str">
            <v>UK</v>
          </cell>
          <cell r="G149">
            <v>38</v>
          </cell>
          <cell r="H149">
            <v>38</v>
          </cell>
          <cell r="I149" t="str">
            <v>Female</v>
          </cell>
          <cell r="J149" t="str">
            <v>Female</v>
          </cell>
          <cell r="K149" t="str">
            <v>Medium</v>
          </cell>
          <cell r="L149" t="str">
            <v>Regular</v>
          </cell>
          <cell r="M149">
            <v>45175</v>
          </cell>
          <cell r="N149">
            <v>4</v>
          </cell>
          <cell r="O149">
            <v>4</v>
          </cell>
          <cell r="P149">
            <v>491.17579999999998</v>
          </cell>
          <cell r="Q149">
            <v>1964.7031999999999</v>
          </cell>
          <cell r="R149" t="str">
            <v>Home Decor</v>
          </cell>
          <cell r="S149" t="str">
            <v>Home Decor</v>
          </cell>
          <cell r="T149" t="str">
            <v>Bathroom</v>
          </cell>
          <cell r="U149" t="str">
            <v>Home Decor</v>
          </cell>
          <cell r="V149" t="str">
            <v>Average</v>
          </cell>
          <cell r="W149" t="str">
            <v>Average</v>
          </cell>
          <cell r="X149" t="str">
            <v>Same-Day</v>
          </cell>
          <cell r="Y149">
            <v>2</v>
          </cell>
          <cell r="Z149">
            <v>2</v>
          </cell>
        </row>
        <row r="150">
          <cell r="A150">
            <v>6615549</v>
          </cell>
          <cell r="B150">
            <v>37748</v>
          </cell>
          <cell r="C150" t="str">
            <v>Teresa West</v>
          </cell>
          <cell r="D150" t="str">
            <v>Portsmouth</v>
          </cell>
          <cell r="E150" t="str">
            <v>England</v>
          </cell>
          <cell r="F150" t="str">
            <v>UK</v>
          </cell>
          <cell r="G150">
            <v>39</v>
          </cell>
          <cell r="H150">
            <v>39</v>
          </cell>
          <cell r="I150" t="str">
            <v>Male</v>
          </cell>
          <cell r="J150" t="str">
            <v>Male</v>
          </cell>
          <cell r="K150" t="str">
            <v>Low</v>
          </cell>
          <cell r="L150" t="str">
            <v>Regular</v>
          </cell>
          <cell r="M150">
            <v>45320</v>
          </cell>
          <cell r="N150">
            <v>5</v>
          </cell>
          <cell r="O150">
            <v>5</v>
          </cell>
          <cell r="P150">
            <v>194.123119</v>
          </cell>
          <cell r="Q150">
            <v>970.61559480000005</v>
          </cell>
          <cell r="R150" t="str">
            <v>Grocery</v>
          </cell>
          <cell r="S150" t="str">
            <v>Grocery</v>
          </cell>
          <cell r="T150" t="str">
            <v>Juice</v>
          </cell>
          <cell r="U150" t="str">
            <v>Grocery</v>
          </cell>
          <cell r="V150" t="str">
            <v>Bad</v>
          </cell>
          <cell r="W150" t="str">
            <v>Bad</v>
          </cell>
          <cell r="X150" t="str">
            <v>Express</v>
          </cell>
          <cell r="Y150">
            <v>1</v>
          </cell>
          <cell r="Z150">
            <v>1</v>
          </cell>
        </row>
        <row r="151">
          <cell r="A151">
            <v>5820774</v>
          </cell>
          <cell r="B151">
            <v>46908</v>
          </cell>
          <cell r="C151" t="str">
            <v>Kimberly Jordan</v>
          </cell>
          <cell r="D151" t="str">
            <v>Portsmouth</v>
          </cell>
          <cell r="E151" t="str">
            <v>England</v>
          </cell>
          <cell r="F151" t="str">
            <v>UK</v>
          </cell>
          <cell r="G151">
            <v>54</v>
          </cell>
          <cell r="H151">
            <v>54</v>
          </cell>
          <cell r="I151" t="str">
            <v>Male</v>
          </cell>
          <cell r="J151" t="str">
            <v>Male</v>
          </cell>
          <cell r="K151" t="str">
            <v>Medium</v>
          </cell>
          <cell r="L151" t="str">
            <v>Regular</v>
          </cell>
          <cell r="M151">
            <v>45213</v>
          </cell>
          <cell r="N151">
            <v>5</v>
          </cell>
          <cell r="O151">
            <v>5</v>
          </cell>
          <cell r="P151">
            <v>402.11543949999998</v>
          </cell>
          <cell r="Q151">
            <v>2010.577198</v>
          </cell>
          <cell r="R151" t="str">
            <v>Books</v>
          </cell>
          <cell r="S151" t="str">
            <v>Books</v>
          </cell>
          <cell r="T151" t="str">
            <v>Fiction</v>
          </cell>
          <cell r="U151" t="str">
            <v>Books</v>
          </cell>
          <cell r="V151" t="str">
            <v>Excellent</v>
          </cell>
          <cell r="W151" t="str">
            <v>Excellent</v>
          </cell>
          <cell r="X151" t="str">
            <v>Same-Day</v>
          </cell>
          <cell r="Y151">
            <v>4</v>
          </cell>
          <cell r="Z151">
            <v>4</v>
          </cell>
        </row>
        <row r="152">
          <cell r="A152">
            <v>4613625</v>
          </cell>
          <cell r="B152">
            <v>72950</v>
          </cell>
          <cell r="C152" t="str">
            <v>Gregory Bates</v>
          </cell>
          <cell r="D152" t="str">
            <v>Portsmouth</v>
          </cell>
          <cell r="E152" t="str">
            <v>England</v>
          </cell>
          <cell r="F152" t="str">
            <v>UK</v>
          </cell>
          <cell r="G152">
            <v>51</v>
          </cell>
          <cell r="H152">
            <v>51</v>
          </cell>
          <cell r="I152" t="str">
            <v>Female</v>
          </cell>
          <cell r="J152" t="str">
            <v>Female</v>
          </cell>
          <cell r="K152" t="str">
            <v>Low</v>
          </cell>
          <cell r="L152" t="str">
            <v>Regular</v>
          </cell>
          <cell r="M152">
            <v>45083</v>
          </cell>
          <cell r="N152">
            <v>10</v>
          </cell>
          <cell r="O152">
            <v>10</v>
          </cell>
          <cell r="P152">
            <v>488.5287161</v>
          </cell>
          <cell r="Q152">
            <v>4885.2871610000002</v>
          </cell>
          <cell r="R152" t="str">
            <v>Electronics</v>
          </cell>
          <cell r="S152" t="str">
            <v>Electronics</v>
          </cell>
          <cell r="T152" t="str">
            <v>Television</v>
          </cell>
          <cell r="U152" t="str">
            <v>Electronics</v>
          </cell>
          <cell r="V152" t="str">
            <v>Average</v>
          </cell>
          <cell r="W152" t="str">
            <v>Average</v>
          </cell>
          <cell r="X152" t="str">
            <v>Same-Day</v>
          </cell>
          <cell r="Y152">
            <v>2</v>
          </cell>
          <cell r="Z152">
            <v>2</v>
          </cell>
        </row>
        <row r="153">
          <cell r="A153">
            <v>7433237</v>
          </cell>
          <cell r="B153">
            <v>78960</v>
          </cell>
          <cell r="C153" t="str">
            <v>Kyle Odom</v>
          </cell>
          <cell r="D153" t="str">
            <v>Portsmouth</v>
          </cell>
          <cell r="E153" t="str">
            <v>England</v>
          </cell>
          <cell r="F153" t="str">
            <v>UK</v>
          </cell>
          <cell r="G153">
            <v>57</v>
          </cell>
          <cell r="H153">
            <v>57</v>
          </cell>
          <cell r="I153" t="str">
            <v>Female</v>
          </cell>
          <cell r="J153" t="str">
            <v>Female</v>
          </cell>
          <cell r="K153" t="str">
            <v>Medium</v>
          </cell>
          <cell r="L153" t="str">
            <v>Regular</v>
          </cell>
          <cell r="M153">
            <v>45076</v>
          </cell>
          <cell r="N153">
            <v>5</v>
          </cell>
          <cell r="O153">
            <v>5</v>
          </cell>
          <cell r="P153">
            <v>435.26270460000001</v>
          </cell>
          <cell r="Q153">
            <v>2176.3135229999998</v>
          </cell>
          <cell r="R153" t="str">
            <v>Books</v>
          </cell>
          <cell r="S153" t="str">
            <v>Books</v>
          </cell>
          <cell r="T153" t="str">
            <v>Children's</v>
          </cell>
          <cell r="U153" t="str">
            <v>Books</v>
          </cell>
          <cell r="V153" t="str">
            <v>Excellent</v>
          </cell>
          <cell r="W153" t="str">
            <v>Excellent</v>
          </cell>
          <cell r="X153" t="str">
            <v>Express</v>
          </cell>
          <cell r="Y153">
            <v>4</v>
          </cell>
          <cell r="Z153">
            <v>4</v>
          </cell>
        </row>
        <row r="154">
          <cell r="A154">
            <v>6907373</v>
          </cell>
          <cell r="B154">
            <v>97201</v>
          </cell>
          <cell r="C154" t="str">
            <v>Daniel Myers</v>
          </cell>
          <cell r="D154" t="str">
            <v>Portsmouth</v>
          </cell>
          <cell r="E154" t="str">
            <v>England</v>
          </cell>
          <cell r="F154" t="str">
            <v>UK</v>
          </cell>
          <cell r="G154">
            <v>58</v>
          </cell>
          <cell r="H154">
            <v>58</v>
          </cell>
          <cell r="I154" t="str">
            <v>Male</v>
          </cell>
          <cell r="J154" t="str">
            <v>Male</v>
          </cell>
          <cell r="K154" t="str">
            <v>Medium</v>
          </cell>
          <cell r="L154" t="str">
            <v>Regular</v>
          </cell>
          <cell r="M154">
            <v>45077</v>
          </cell>
          <cell r="N154">
            <v>5</v>
          </cell>
          <cell r="O154">
            <v>5</v>
          </cell>
          <cell r="P154">
            <v>142.07257960000001</v>
          </cell>
          <cell r="Q154">
            <v>710.36289780000004</v>
          </cell>
          <cell r="R154" t="str">
            <v>Books</v>
          </cell>
          <cell r="S154" t="str">
            <v>Books</v>
          </cell>
          <cell r="T154" t="str">
            <v>Thriller</v>
          </cell>
          <cell r="U154" t="str">
            <v>Books</v>
          </cell>
          <cell r="V154" t="str">
            <v>Excellent</v>
          </cell>
          <cell r="W154" t="str">
            <v>Excellent</v>
          </cell>
          <cell r="X154" t="str">
            <v>Same-Day</v>
          </cell>
          <cell r="Y154">
            <v>5</v>
          </cell>
          <cell r="Z154">
            <v>5</v>
          </cell>
        </row>
        <row r="155">
          <cell r="A155">
            <v>1761766</v>
          </cell>
          <cell r="B155">
            <v>37351</v>
          </cell>
          <cell r="C155" t="str">
            <v>Rachel Robinson</v>
          </cell>
          <cell r="D155" t="str">
            <v>Portsmouth</v>
          </cell>
          <cell r="E155" t="str">
            <v>England</v>
          </cell>
          <cell r="F155" t="str">
            <v>UK</v>
          </cell>
          <cell r="G155">
            <v>46</v>
          </cell>
          <cell r="H155">
            <v>46</v>
          </cell>
          <cell r="I155" t="str">
            <v>Male</v>
          </cell>
          <cell r="J155" t="str">
            <v>Male</v>
          </cell>
          <cell r="K155" t="str">
            <v>Medium</v>
          </cell>
          <cell r="L155" t="str">
            <v>Regular</v>
          </cell>
          <cell r="M155">
            <v>45152</v>
          </cell>
          <cell r="N155">
            <v>5</v>
          </cell>
          <cell r="O155">
            <v>5</v>
          </cell>
          <cell r="P155">
            <v>225.77159829999999</v>
          </cell>
          <cell r="Q155">
            <v>1128.8579910000001</v>
          </cell>
          <cell r="R155" t="str">
            <v>Home Decor</v>
          </cell>
          <cell r="S155" t="str">
            <v>Home Decor</v>
          </cell>
          <cell r="T155" t="str">
            <v>Furniture</v>
          </cell>
          <cell r="U155" t="str">
            <v>Home Decor</v>
          </cell>
          <cell r="V155" t="str">
            <v>Bad</v>
          </cell>
          <cell r="W155" t="str">
            <v>Bad</v>
          </cell>
          <cell r="X155" t="str">
            <v>Same-Day</v>
          </cell>
          <cell r="Y155">
            <v>1</v>
          </cell>
          <cell r="Z155">
            <v>1</v>
          </cell>
        </row>
        <row r="156">
          <cell r="A156">
            <v>4435221</v>
          </cell>
          <cell r="B156">
            <v>73668</v>
          </cell>
          <cell r="C156" t="str">
            <v>John Carpenter</v>
          </cell>
          <cell r="D156" t="str">
            <v>Portsmouth</v>
          </cell>
          <cell r="E156" t="str">
            <v>England</v>
          </cell>
          <cell r="F156" t="str">
            <v>UK</v>
          </cell>
          <cell r="G156">
            <v>18</v>
          </cell>
          <cell r="H156">
            <v>18</v>
          </cell>
          <cell r="I156" t="str">
            <v>Male</v>
          </cell>
          <cell r="J156" t="str">
            <v>Male</v>
          </cell>
          <cell r="K156" t="str">
            <v>Low</v>
          </cell>
          <cell r="L156" t="str">
            <v>Regular</v>
          </cell>
          <cell r="M156">
            <v>45063</v>
          </cell>
          <cell r="N156">
            <v>5</v>
          </cell>
          <cell r="O156">
            <v>5</v>
          </cell>
          <cell r="P156">
            <v>435.10538000000003</v>
          </cell>
          <cell r="Q156">
            <v>2175.5268999999998</v>
          </cell>
          <cell r="R156" t="str">
            <v>Clothing</v>
          </cell>
          <cell r="S156" t="str">
            <v>Clothing</v>
          </cell>
          <cell r="T156" t="str">
            <v>Shirt</v>
          </cell>
          <cell r="U156" t="str">
            <v>Clothing</v>
          </cell>
          <cell r="V156" t="str">
            <v>Excellent</v>
          </cell>
          <cell r="W156" t="str">
            <v>Excellent</v>
          </cell>
          <cell r="X156" t="str">
            <v>Standard</v>
          </cell>
          <cell r="Y156">
            <v>4</v>
          </cell>
          <cell r="Z156">
            <v>4</v>
          </cell>
        </row>
        <row r="157">
          <cell r="A157">
            <v>4201893</v>
          </cell>
          <cell r="B157">
            <v>93072</v>
          </cell>
          <cell r="C157" t="str">
            <v>Brandy Cruz</v>
          </cell>
          <cell r="D157" t="str">
            <v>Portsmouth</v>
          </cell>
          <cell r="E157" t="str">
            <v>England</v>
          </cell>
          <cell r="F157" t="str">
            <v>UK</v>
          </cell>
          <cell r="G157">
            <v>46</v>
          </cell>
          <cell r="H157">
            <v>46</v>
          </cell>
          <cell r="I157" t="str">
            <v>Male</v>
          </cell>
          <cell r="J157" t="str">
            <v>Male</v>
          </cell>
          <cell r="K157" t="str">
            <v>Low</v>
          </cell>
          <cell r="L157" t="str">
            <v>Regular</v>
          </cell>
          <cell r="M157">
            <v>45274</v>
          </cell>
          <cell r="N157">
            <v>2</v>
          </cell>
          <cell r="O157">
            <v>2</v>
          </cell>
          <cell r="P157">
            <v>324.91566769999997</v>
          </cell>
          <cell r="Q157">
            <v>649.83133529999998</v>
          </cell>
          <cell r="R157" t="str">
            <v>Clothing</v>
          </cell>
          <cell r="S157" t="str">
            <v>Clothing</v>
          </cell>
          <cell r="T157" t="str">
            <v>Jacket</v>
          </cell>
          <cell r="U157" t="str">
            <v>Clothing</v>
          </cell>
          <cell r="V157" t="str">
            <v>Excellent</v>
          </cell>
          <cell r="W157" t="str">
            <v>Excellent</v>
          </cell>
          <cell r="X157" t="str">
            <v>Express</v>
          </cell>
          <cell r="Y157">
            <v>4</v>
          </cell>
          <cell r="Z157">
            <v>4</v>
          </cell>
        </row>
        <row r="158">
          <cell r="A158">
            <v>6908483</v>
          </cell>
          <cell r="B158">
            <v>44073</v>
          </cell>
          <cell r="C158" t="str">
            <v>David James</v>
          </cell>
          <cell r="D158" t="str">
            <v>Portsmouth</v>
          </cell>
          <cell r="E158" t="str">
            <v>England</v>
          </cell>
          <cell r="F158" t="str">
            <v>UK</v>
          </cell>
          <cell r="G158">
            <v>70</v>
          </cell>
          <cell r="H158">
            <v>70</v>
          </cell>
          <cell r="I158" t="str">
            <v>Female</v>
          </cell>
          <cell r="J158" t="str">
            <v>Female</v>
          </cell>
          <cell r="K158" t="str">
            <v>Medium</v>
          </cell>
          <cell r="L158" t="str">
            <v>Regular</v>
          </cell>
          <cell r="M158">
            <v>45012</v>
          </cell>
          <cell r="N158">
            <v>8</v>
          </cell>
          <cell r="O158">
            <v>8</v>
          </cell>
          <cell r="P158">
            <v>267.80206620000001</v>
          </cell>
          <cell r="Q158">
            <v>2142.41653</v>
          </cell>
          <cell r="R158" t="str">
            <v>Electronics</v>
          </cell>
          <cell r="S158" t="str">
            <v>Electronics</v>
          </cell>
          <cell r="T158" t="str">
            <v>Headphones</v>
          </cell>
          <cell r="U158" t="str">
            <v>Electronics</v>
          </cell>
          <cell r="V158" t="str">
            <v>Bad</v>
          </cell>
          <cell r="W158" t="str">
            <v>Bad</v>
          </cell>
          <cell r="X158" t="str">
            <v>Standard</v>
          </cell>
          <cell r="Y158">
            <v>1</v>
          </cell>
          <cell r="Z158">
            <v>1</v>
          </cell>
        </row>
        <row r="159">
          <cell r="A159">
            <v>8400644</v>
          </cell>
          <cell r="B159">
            <v>33277</v>
          </cell>
          <cell r="C159" t="str">
            <v>Michael Curtis</v>
          </cell>
          <cell r="D159" t="str">
            <v>Portsmouth</v>
          </cell>
          <cell r="E159" t="str">
            <v>England</v>
          </cell>
          <cell r="F159" t="str">
            <v>UK</v>
          </cell>
          <cell r="G159">
            <v>68</v>
          </cell>
          <cell r="H159">
            <v>68</v>
          </cell>
          <cell r="I159" t="str">
            <v>Male</v>
          </cell>
          <cell r="J159" t="str">
            <v>Male</v>
          </cell>
          <cell r="K159" t="str">
            <v>Medium</v>
          </cell>
          <cell r="L159" t="str">
            <v>Regular</v>
          </cell>
          <cell r="M159">
            <v>45120</v>
          </cell>
          <cell r="N159">
            <v>4</v>
          </cell>
          <cell r="O159">
            <v>4</v>
          </cell>
          <cell r="P159">
            <v>299.93041369999997</v>
          </cell>
          <cell r="Q159">
            <v>1199.7216550000001</v>
          </cell>
          <cell r="R159" t="str">
            <v>Clothing</v>
          </cell>
          <cell r="S159" t="str">
            <v>Clothing</v>
          </cell>
          <cell r="T159" t="str">
            <v>Shirt</v>
          </cell>
          <cell r="U159" t="str">
            <v>Clothing</v>
          </cell>
          <cell r="V159" t="str">
            <v>Bad</v>
          </cell>
          <cell r="W159" t="str">
            <v>Bad</v>
          </cell>
          <cell r="X159" t="str">
            <v>Standard</v>
          </cell>
          <cell r="Y159">
            <v>1</v>
          </cell>
          <cell r="Z159">
            <v>1</v>
          </cell>
        </row>
        <row r="160">
          <cell r="A160">
            <v>5648072</v>
          </cell>
          <cell r="B160">
            <v>89211</v>
          </cell>
          <cell r="C160" t="str">
            <v>Derrick Baker</v>
          </cell>
          <cell r="D160" t="str">
            <v>Portsmouth</v>
          </cell>
          <cell r="E160" t="str">
            <v>England</v>
          </cell>
          <cell r="F160" t="str">
            <v>UK</v>
          </cell>
          <cell r="G160">
            <v>27</v>
          </cell>
          <cell r="H160">
            <v>27</v>
          </cell>
          <cell r="I160" t="str">
            <v>Female</v>
          </cell>
          <cell r="J160" t="str">
            <v>Female</v>
          </cell>
          <cell r="K160" t="str">
            <v>Medium</v>
          </cell>
          <cell r="L160" t="str">
            <v>Regular</v>
          </cell>
          <cell r="M160">
            <v>45347</v>
          </cell>
          <cell r="N160">
            <v>2</v>
          </cell>
          <cell r="O160">
            <v>2</v>
          </cell>
          <cell r="P160">
            <v>168.017706</v>
          </cell>
          <cell r="Q160">
            <v>336.03541200000001</v>
          </cell>
          <cell r="R160" t="str">
            <v>Books</v>
          </cell>
          <cell r="S160" t="str">
            <v>Books</v>
          </cell>
          <cell r="T160" t="str">
            <v>Fiction</v>
          </cell>
          <cell r="U160" t="str">
            <v>Books</v>
          </cell>
          <cell r="V160" t="str">
            <v>Bad</v>
          </cell>
          <cell r="W160" t="str">
            <v>Bad</v>
          </cell>
          <cell r="X160" t="str">
            <v>Same-Day</v>
          </cell>
          <cell r="Y160">
            <v>1</v>
          </cell>
          <cell r="Z160">
            <v>1</v>
          </cell>
        </row>
        <row r="161">
          <cell r="A161">
            <v>8093529</v>
          </cell>
          <cell r="B161">
            <v>45413</v>
          </cell>
          <cell r="C161" t="str">
            <v>Lauren Johnson</v>
          </cell>
          <cell r="D161" t="str">
            <v>Portsmouth</v>
          </cell>
          <cell r="E161" t="str">
            <v>England</v>
          </cell>
          <cell r="F161" t="str">
            <v>UK</v>
          </cell>
          <cell r="G161">
            <v>63</v>
          </cell>
          <cell r="H161">
            <v>63</v>
          </cell>
          <cell r="I161" t="str">
            <v>Male</v>
          </cell>
          <cell r="J161" t="str">
            <v>Male</v>
          </cell>
          <cell r="K161" t="str">
            <v>Medium</v>
          </cell>
          <cell r="L161" t="str">
            <v>Regular</v>
          </cell>
          <cell r="M161">
            <v>44989</v>
          </cell>
          <cell r="N161">
            <v>10</v>
          </cell>
          <cell r="O161">
            <v>10</v>
          </cell>
          <cell r="P161">
            <v>485.07736169999998</v>
          </cell>
          <cell r="Q161">
            <v>4850.7736169999998</v>
          </cell>
          <cell r="R161" t="str">
            <v>Books</v>
          </cell>
          <cell r="S161" t="str">
            <v>Books</v>
          </cell>
          <cell r="T161" t="str">
            <v>Children's</v>
          </cell>
          <cell r="U161" t="str">
            <v>Books</v>
          </cell>
          <cell r="V161" t="str">
            <v>Bad</v>
          </cell>
          <cell r="W161" t="str">
            <v>Bad</v>
          </cell>
          <cell r="X161" t="str">
            <v>Standard</v>
          </cell>
          <cell r="Y161">
            <v>1</v>
          </cell>
          <cell r="Z161">
            <v>1</v>
          </cell>
        </row>
        <row r="162">
          <cell r="A162">
            <v>1214388</v>
          </cell>
          <cell r="B162">
            <v>75644</v>
          </cell>
          <cell r="C162" t="str">
            <v>Nicole Fisher</v>
          </cell>
          <cell r="D162" t="str">
            <v>Portsmouth</v>
          </cell>
          <cell r="E162" t="str">
            <v>England</v>
          </cell>
          <cell r="F162" t="str">
            <v>UK</v>
          </cell>
          <cell r="G162">
            <v>55</v>
          </cell>
          <cell r="H162">
            <v>55</v>
          </cell>
          <cell r="I162" t="str">
            <v>Male</v>
          </cell>
          <cell r="J162" t="str">
            <v>Male</v>
          </cell>
          <cell r="K162" t="str">
            <v>Medium</v>
          </cell>
          <cell r="L162" t="str">
            <v>Regular</v>
          </cell>
          <cell r="M162">
            <v>45248</v>
          </cell>
          <cell r="N162">
            <v>7</v>
          </cell>
          <cell r="O162">
            <v>7</v>
          </cell>
          <cell r="P162">
            <v>395.51273049999998</v>
          </cell>
          <cell r="Q162">
            <v>2768.589113</v>
          </cell>
          <cell r="R162" t="str">
            <v>Clothing</v>
          </cell>
          <cell r="S162" t="str">
            <v>Clothing</v>
          </cell>
          <cell r="T162" t="str">
            <v>Jeans</v>
          </cell>
          <cell r="U162" t="str">
            <v>Clothing</v>
          </cell>
          <cell r="V162" t="str">
            <v>Excellent</v>
          </cell>
          <cell r="W162" t="str">
            <v>Excellent</v>
          </cell>
          <cell r="X162" t="str">
            <v>Express</v>
          </cell>
          <cell r="Y162">
            <v>5</v>
          </cell>
          <cell r="Z162">
            <v>5</v>
          </cell>
        </row>
        <row r="163">
          <cell r="A163">
            <v>2780785</v>
          </cell>
          <cell r="B163">
            <v>28689</v>
          </cell>
          <cell r="C163" t="str">
            <v>Miranda York</v>
          </cell>
          <cell r="D163" t="str">
            <v>Portsmouth</v>
          </cell>
          <cell r="E163" t="str">
            <v>England</v>
          </cell>
          <cell r="F163" t="str">
            <v>UK</v>
          </cell>
          <cell r="G163">
            <v>37</v>
          </cell>
          <cell r="H163">
            <v>37</v>
          </cell>
          <cell r="I163" t="str">
            <v>Female</v>
          </cell>
          <cell r="J163" t="str">
            <v>Female</v>
          </cell>
          <cell r="K163" t="str">
            <v>High</v>
          </cell>
          <cell r="L163" t="str">
            <v>Regular</v>
          </cell>
          <cell r="M163">
            <v>45079</v>
          </cell>
          <cell r="N163">
            <v>8</v>
          </cell>
          <cell r="O163">
            <v>8</v>
          </cell>
          <cell r="P163">
            <v>196.3245186</v>
          </cell>
          <cell r="Q163">
            <v>1570.596149</v>
          </cell>
          <cell r="R163" t="str">
            <v>Books</v>
          </cell>
          <cell r="S163" t="str">
            <v>Books</v>
          </cell>
          <cell r="T163" t="str">
            <v>Thriller</v>
          </cell>
          <cell r="U163" t="str">
            <v>Books</v>
          </cell>
          <cell r="V163" t="str">
            <v>Bad</v>
          </cell>
          <cell r="W163" t="str">
            <v>Bad</v>
          </cell>
          <cell r="X163" t="str">
            <v>Express</v>
          </cell>
          <cell r="Y163">
            <v>1</v>
          </cell>
          <cell r="Z163">
            <v>1</v>
          </cell>
        </row>
        <row r="164">
          <cell r="A164">
            <v>9316466</v>
          </cell>
          <cell r="B164">
            <v>17098</v>
          </cell>
          <cell r="C164" t="str">
            <v>Jeff Little</v>
          </cell>
          <cell r="D164" t="str">
            <v>Portsmouth</v>
          </cell>
          <cell r="E164" t="str">
            <v>England</v>
          </cell>
          <cell r="F164" t="str">
            <v>UK</v>
          </cell>
          <cell r="G164">
            <v>26</v>
          </cell>
          <cell r="H164">
            <v>26</v>
          </cell>
          <cell r="I164" t="str">
            <v>Female</v>
          </cell>
          <cell r="J164" t="str">
            <v>Female</v>
          </cell>
          <cell r="K164" t="str">
            <v>High</v>
          </cell>
          <cell r="L164" t="str">
            <v>Regular</v>
          </cell>
          <cell r="M164">
            <v>45303</v>
          </cell>
          <cell r="N164">
            <v>8</v>
          </cell>
          <cell r="O164">
            <v>8</v>
          </cell>
          <cell r="P164">
            <v>223.99913140000001</v>
          </cell>
          <cell r="Q164">
            <v>1791.9930509999999</v>
          </cell>
          <cell r="R164" t="str">
            <v>Electronics</v>
          </cell>
          <cell r="S164" t="str">
            <v>Electronics</v>
          </cell>
          <cell r="T164" t="str">
            <v>Smartphone</v>
          </cell>
          <cell r="U164" t="str">
            <v>Electronics</v>
          </cell>
          <cell r="V164" t="str">
            <v>Average</v>
          </cell>
          <cell r="W164" t="str">
            <v>Average</v>
          </cell>
          <cell r="X164" t="str">
            <v>Standard</v>
          </cell>
          <cell r="Y164">
            <v>2</v>
          </cell>
          <cell r="Z164">
            <v>2</v>
          </cell>
        </row>
        <row r="165">
          <cell r="A165">
            <v>6500202</v>
          </cell>
          <cell r="B165">
            <v>59565</v>
          </cell>
          <cell r="C165" t="str">
            <v>Sheila Grant</v>
          </cell>
          <cell r="D165" t="str">
            <v>Portsmouth</v>
          </cell>
          <cell r="E165" t="str">
            <v>England</v>
          </cell>
          <cell r="F165" t="str">
            <v>UK</v>
          </cell>
          <cell r="G165">
            <v>39</v>
          </cell>
          <cell r="H165">
            <v>39</v>
          </cell>
          <cell r="I165" t="str">
            <v>Female</v>
          </cell>
          <cell r="J165" t="str">
            <v>Female</v>
          </cell>
          <cell r="K165" t="str">
            <v>Medium</v>
          </cell>
          <cell r="L165" t="str">
            <v>Regular</v>
          </cell>
          <cell r="M165">
            <v>45339</v>
          </cell>
          <cell r="N165">
            <v>8</v>
          </cell>
          <cell r="O165">
            <v>8</v>
          </cell>
          <cell r="P165">
            <v>140.59832800000001</v>
          </cell>
          <cell r="Q165">
            <v>1124.7866240000001</v>
          </cell>
          <cell r="R165" t="str">
            <v>Home Decor</v>
          </cell>
          <cell r="S165" t="str">
            <v>Home Decor</v>
          </cell>
          <cell r="T165" t="str">
            <v>Furniture</v>
          </cell>
          <cell r="U165" t="str">
            <v>Home Decor</v>
          </cell>
          <cell r="V165" t="str">
            <v>Excellent</v>
          </cell>
          <cell r="W165" t="str">
            <v>Excellent</v>
          </cell>
          <cell r="X165" t="str">
            <v>Same-Day</v>
          </cell>
          <cell r="Y165">
            <v>5</v>
          </cell>
          <cell r="Z165">
            <v>5</v>
          </cell>
        </row>
        <row r="166">
          <cell r="A166">
            <v>9449050</v>
          </cell>
          <cell r="B166">
            <v>14899</v>
          </cell>
          <cell r="C166" t="str">
            <v>Adam Decker</v>
          </cell>
          <cell r="D166" t="str">
            <v>Portsmouth</v>
          </cell>
          <cell r="E166" t="str">
            <v>England</v>
          </cell>
          <cell r="F166" t="str">
            <v>UK</v>
          </cell>
          <cell r="G166">
            <v>18</v>
          </cell>
          <cell r="H166">
            <v>18</v>
          </cell>
          <cell r="I166" t="str">
            <v>Male</v>
          </cell>
          <cell r="J166" t="str">
            <v>Male</v>
          </cell>
          <cell r="K166" t="str">
            <v>Medium</v>
          </cell>
          <cell r="L166" t="str">
            <v>Regular</v>
          </cell>
          <cell r="M166">
            <v>45060</v>
          </cell>
          <cell r="N166">
            <v>4</v>
          </cell>
          <cell r="O166">
            <v>4</v>
          </cell>
          <cell r="P166">
            <v>249.23090089999999</v>
          </cell>
          <cell r="Q166">
            <v>996.92360369999994</v>
          </cell>
          <cell r="R166" t="str">
            <v>Books</v>
          </cell>
          <cell r="S166" t="str">
            <v>Books</v>
          </cell>
          <cell r="T166" t="str">
            <v>Children's</v>
          </cell>
          <cell r="U166" t="str">
            <v>Books</v>
          </cell>
          <cell r="V166" t="str">
            <v>Good</v>
          </cell>
          <cell r="W166" t="str">
            <v>Good</v>
          </cell>
          <cell r="X166" t="str">
            <v>Same-Day</v>
          </cell>
          <cell r="Y166">
            <v>3</v>
          </cell>
          <cell r="Z166">
            <v>3</v>
          </cell>
        </row>
        <row r="167">
          <cell r="A167">
            <v>7311153</v>
          </cell>
          <cell r="B167">
            <v>95391</v>
          </cell>
          <cell r="C167" t="str">
            <v>Brandy Dyer</v>
          </cell>
          <cell r="D167" t="str">
            <v>Portsmouth</v>
          </cell>
          <cell r="E167" t="str">
            <v>England</v>
          </cell>
          <cell r="F167" t="str">
            <v>UK</v>
          </cell>
          <cell r="G167">
            <v>64</v>
          </cell>
          <cell r="H167">
            <v>64</v>
          </cell>
          <cell r="I167" t="str">
            <v>Male</v>
          </cell>
          <cell r="J167" t="str">
            <v>Male</v>
          </cell>
          <cell r="K167" t="str">
            <v>Low</v>
          </cell>
          <cell r="L167" t="str">
            <v>Regular</v>
          </cell>
          <cell r="M167">
            <v>45255</v>
          </cell>
          <cell r="N167">
            <v>7</v>
          </cell>
          <cell r="O167">
            <v>7</v>
          </cell>
          <cell r="P167">
            <v>207.84395810000001</v>
          </cell>
          <cell r="Q167">
            <v>1454.9077070000001</v>
          </cell>
          <cell r="R167" t="str">
            <v>Grocery</v>
          </cell>
          <cell r="S167" t="str">
            <v>Grocery</v>
          </cell>
          <cell r="T167" t="str">
            <v>Water</v>
          </cell>
          <cell r="U167" t="str">
            <v>Grocery</v>
          </cell>
          <cell r="V167" t="str">
            <v>Average</v>
          </cell>
          <cell r="W167" t="str">
            <v>Average</v>
          </cell>
          <cell r="X167" t="str">
            <v>Express</v>
          </cell>
          <cell r="Y167">
            <v>2</v>
          </cell>
          <cell r="Z167">
            <v>2</v>
          </cell>
        </row>
        <row r="168">
          <cell r="A168">
            <v>6215388</v>
          </cell>
          <cell r="B168">
            <v>66817</v>
          </cell>
          <cell r="C168" t="str">
            <v>Richard Ortiz</v>
          </cell>
          <cell r="D168" t="str">
            <v>Portsmouth</v>
          </cell>
          <cell r="E168" t="str">
            <v>England</v>
          </cell>
          <cell r="F168" t="str">
            <v>UK</v>
          </cell>
          <cell r="G168">
            <v>41</v>
          </cell>
          <cell r="H168">
            <v>41</v>
          </cell>
          <cell r="I168" t="str">
            <v>Female</v>
          </cell>
          <cell r="J168" t="str">
            <v>Female</v>
          </cell>
          <cell r="K168" t="str">
            <v>High</v>
          </cell>
          <cell r="L168" t="str">
            <v>Regular</v>
          </cell>
          <cell r="M168">
            <v>45051</v>
          </cell>
          <cell r="N168">
            <v>2</v>
          </cell>
          <cell r="O168">
            <v>2</v>
          </cell>
          <cell r="P168">
            <v>209.65846160000001</v>
          </cell>
          <cell r="Q168">
            <v>419.31692329999998</v>
          </cell>
          <cell r="R168" t="str">
            <v>Grocery</v>
          </cell>
          <cell r="S168" t="str">
            <v>Grocery</v>
          </cell>
          <cell r="T168" t="str">
            <v>Juice</v>
          </cell>
          <cell r="U168" t="str">
            <v>Grocery</v>
          </cell>
          <cell r="V168" t="str">
            <v>Average</v>
          </cell>
          <cell r="W168" t="str">
            <v>Average</v>
          </cell>
          <cell r="X168" t="str">
            <v>Express</v>
          </cell>
          <cell r="Y168">
            <v>2</v>
          </cell>
          <cell r="Z168">
            <v>2</v>
          </cell>
        </row>
        <row r="169">
          <cell r="A169">
            <v>8810446</v>
          </cell>
          <cell r="B169">
            <v>93866</v>
          </cell>
          <cell r="C169" t="str">
            <v>Zachary Diaz</v>
          </cell>
          <cell r="D169" t="str">
            <v>Portsmouth</v>
          </cell>
          <cell r="E169" t="str">
            <v>England</v>
          </cell>
          <cell r="F169" t="str">
            <v>UK</v>
          </cell>
          <cell r="G169">
            <v>32</v>
          </cell>
          <cell r="H169">
            <v>32</v>
          </cell>
          <cell r="I169" t="str">
            <v>Female</v>
          </cell>
          <cell r="J169" t="str">
            <v>Female</v>
          </cell>
          <cell r="K169" t="str">
            <v>Medium</v>
          </cell>
          <cell r="L169" t="str">
            <v>Regular</v>
          </cell>
          <cell r="M169">
            <v>45192</v>
          </cell>
          <cell r="N169">
            <v>5</v>
          </cell>
          <cell r="O169">
            <v>5</v>
          </cell>
          <cell r="P169">
            <v>188.72045489999999</v>
          </cell>
          <cell r="Q169">
            <v>943.60227459999999</v>
          </cell>
          <cell r="R169" t="str">
            <v>Home Decor</v>
          </cell>
          <cell r="S169" t="str">
            <v>Home Decor</v>
          </cell>
          <cell r="T169" t="str">
            <v>Decorations</v>
          </cell>
          <cell r="U169" t="str">
            <v>Home Decor</v>
          </cell>
          <cell r="V169" t="str">
            <v>Bad</v>
          </cell>
          <cell r="W169" t="str">
            <v>Bad</v>
          </cell>
          <cell r="X169" t="str">
            <v>Same-Day</v>
          </cell>
          <cell r="Y169">
            <v>1</v>
          </cell>
          <cell r="Z169">
            <v>1</v>
          </cell>
        </row>
        <row r="170">
          <cell r="A170">
            <v>4176344</v>
          </cell>
          <cell r="B170">
            <v>11393</v>
          </cell>
          <cell r="C170" t="str">
            <v>Jerry Chaney</v>
          </cell>
          <cell r="D170" t="str">
            <v>Portsmouth</v>
          </cell>
          <cell r="E170" t="str">
            <v>England</v>
          </cell>
          <cell r="F170" t="str">
            <v>UK</v>
          </cell>
          <cell r="G170">
            <v>46</v>
          </cell>
          <cell r="H170">
            <v>46</v>
          </cell>
          <cell r="I170" t="str">
            <v>Male</v>
          </cell>
          <cell r="J170" t="str">
            <v>Male</v>
          </cell>
          <cell r="K170" t="str">
            <v>High</v>
          </cell>
          <cell r="L170" t="str">
            <v>Regular</v>
          </cell>
          <cell r="M170">
            <v>45115</v>
          </cell>
          <cell r="N170">
            <v>9</v>
          </cell>
          <cell r="O170">
            <v>9</v>
          </cell>
          <cell r="P170">
            <v>457.29234550000001</v>
          </cell>
          <cell r="Q170">
            <v>4115.6311089999999</v>
          </cell>
          <cell r="R170" t="str">
            <v>Clothing</v>
          </cell>
          <cell r="S170" t="str">
            <v>Clothing</v>
          </cell>
          <cell r="T170" t="str">
            <v>Shorts</v>
          </cell>
          <cell r="U170" t="str">
            <v>Clothing</v>
          </cell>
          <cell r="V170" t="str">
            <v>Excellent</v>
          </cell>
          <cell r="W170" t="str">
            <v>Excellent</v>
          </cell>
          <cell r="X170" t="str">
            <v>Same-Day</v>
          </cell>
          <cell r="Y170">
            <v>4</v>
          </cell>
          <cell r="Z170">
            <v>4</v>
          </cell>
        </row>
        <row r="171">
          <cell r="A171">
            <v>7999142</v>
          </cell>
          <cell r="B171">
            <v>88381</v>
          </cell>
          <cell r="C171" t="str">
            <v>Chelsea Leonard</v>
          </cell>
          <cell r="D171" t="str">
            <v>Portsmouth</v>
          </cell>
          <cell r="E171" t="str">
            <v>England</v>
          </cell>
          <cell r="F171" t="str">
            <v>UK</v>
          </cell>
          <cell r="G171">
            <v>57</v>
          </cell>
          <cell r="H171">
            <v>57</v>
          </cell>
          <cell r="I171" t="str">
            <v>Female</v>
          </cell>
          <cell r="J171" t="str">
            <v>Female</v>
          </cell>
          <cell r="K171" t="str">
            <v>Low</v>
          </cell>
          <cell r="L171" t="str">
            <v>Regular</v>
          </cell>
          <cell r="M171">
            <v>45089</v>
          </cell>
          <cell r="N171">
            <v>5</v>
          </cell>
          <cell r="O171">
            <v>5</v>
          </cell>
          <cell r="P171">
            <v>278.98508479999998</v>
          </cell>
          <cell r="Q171">
            <v>1394.925424</v>
          </cell>
          <cell r="R171" t="str">
            <v>Electronics</v>
          </cell>
          <cell r="S171" t="str">
            <v>Electronics</v>
          </cell>
          <cell r="T171" t="str">
            <v>Tablet</v>
          </cell>
          <cell r="U171" t="str">
            <v>Electronics</v>
          </cell>
          <cell r="V171" t="str">
            <v>Bad</v>
          </cell>
          <cell r="W171" t="str">
            <v>Bad</v>
          </cell>
          <cell r="X171" t="str">
            <v>Express</v>
          </cell>
          <cell r="Y171">
            <v>1</v>
          </cell>
          <cell r="Z171">
            <v>1</v>
          </cell>
        </row>
        <row r="172">
          <cell r="A172">
            <v>2869376</v>
          </cell>
          <cell r="B172">
            <v>95670</v>
          </cell>
          <cell r="C172" t="str">
            <v>Heather Bailey</v>
          </cell>
          <cell r="D172" t="str">
            <v>Portsmouth</v>
          </cell>
          <cell r="E172" t="str">
            <v>England</v>
          </cell>
          <cell r="F172" t="str">
            <v>UK</v>
          </cell>
          <cell r="G172">
            <v>39</v>
          </cell>
          <cell r="H172">
            <v>39</v>
          </cell>
          <cell r="I172" t="str">
            <v>Male</v>
          </cell>
          <cell r="J172" t="str">
            <v>Male</v>
          </cell>
          <cell r="K172" t="str">
            <v>Low</v>
          </cell>
          <cell r="L172" t="str">
            <v>Regular</v>
          </cell>
          <cell r="M172">
            <v>45288</v>
          </cell>
          <cell r="N172">
            <v>7</v>
          </cell>
          <cell r="O172">
            <v>7</v>
          </cell>
          <cell r="P172">
            <v>251.94317699999999</v>
          </cell>
          <cell r="Q172">
            <v>1763.6022390000001</v>
          </cell>
          <cell r="R172" t="str">
            <v>Grocery</v>
          </cell>
          <cell r="S172" t="str">
            <v>Grocery</v>
          </cell>
          <cell r="T172" t="str">
            <v>Chocolate</v>
          </cell>
          <cell r="U172" t="str">
            <v>Grocery</v>
          </cell>
          <cell r="V172" t="str">
            <v>Average</v>
          </cell>
          <cell r="W172" t="str">
            <v>Average</v>
          </cell>
          <cell r="X172" t="str">
            <v>Same-Day</v>
          </cell>
          <cell r="Y172">
            <v>2</v>
          </cell>
          <cell r="Z172">
            <v>2</v>
          </cell>
        </row>
        <row r="173">
          <cell r="A173">
            <v>5072217</v>
          </cell>
          <cell r="B173">
            <v>92028</v>
          </cell>
          <cell r="C173" t="str">
            <v>Tracy Farmer</v>
          </cell>
          <cell r="D173" t="str">
            <v>Portsmouth</v>
          </cell>
          <cell r="E173" t="str">
            <v>England</v>
          </cell>
          <cell r="F173" t="str">
            <v>UK</v>
          </cell>
          <cell r="G173">
            <v>48</v>
          </cell>
          <cell r="H173">
            <v>48</v>
          </cell>
          <cell r="I173" t="str">
            <v>Male</v>
          </cell>
          <cell r="J173" t="str">
            <v>Male</v>
          </cell>
          <cell r="K173" t="str">
            <v>Medium</v>
          </cell>
          <cell r="L173" t="str">
            <v>Regular</v>
          </cell>
          <cell r="M173">
            <v>45100</v>
          </cell>
          <cell r="N173">
            <v>3</v>
          </cell>
          <cell r="O173">
            <v>3</v>
          </cell>
          <cell r="P173">
            <v>433.55601830000001</v>
          </cell>
          <cell r="Q173">
            <v>1300.6680550000001</v>
          </cell>
          <cell r="R173" t="str">
            <v>Electronics</v>
          </cell>
          <cell r="S173" t="str">
            <v>Electronics</v>
          </cell>
          <cell r="T173" t="str">
            <v>Smartphone</v>
          </cell>
          <cell r="U173" t="str">
            <v>Electronics</v>
          </cell>
          <cell r="V173" t="str">
            <v>Excellent</v>
          </cell>
          <cell r="W173" t="str">
            <v>Excellent</v>
          </cell>
          <cell r="X173" t="str">
            <v>Express</v>
          </cell>
          <cell r="Y173">
            <v>4</v>
          </cell>
          <cell r="Z173">
            <v>4</v>
          </cell>
        </row>
        <row r="174">
          <cell r="A174">
            <v>6726352</v>
          </cell>
          <cell r="B174">
            <v>26172</v>
          </cell>
          <cell r="C174" t="str">
            <v>Samuel Mclaughlin</v>
          </cell>
          <cell r="D174" t="str">
            <v>Portsmouth</v>
          </cell>
          <cell r="E174" t="str">
            <v>England</v>
          </cell>
          <cell r="F174" t="str">
            <v>UK</v>
          </cell>
          <cell r="G174">
            <v>23</v>
          </cell>
          <cell r="H174">
            <v>23</v>
          </cell>
          <cell r="I174" t="str">
            <v>Female</v>
          </cell>
          <cell r="J174" t="str">
            <v>Female</v>
          </cell>
          <cell r="K174" t="str">
            <v>Low</v>
          </cell>
          <cell r="L174" t="str">
            <v>Regular</v>
          </cell>
          <cell r="M174">
            <v>45054</v>
          </cell>
          <cell r="N174">
            <v>5</v>
          </cell>
          <cell r="O174">
            <v>5</v>
          </cell>
          <cell r="P174">
            <v>473.90139379999999</v>
          </cell>
          <cell r="Q174">
            <v>2369.506969</v>
          </cell>
          <cell r="R174" t="str">
            <v>Clothing</v>
          </cell>
          <cell r="S174" t="str">
            <v>Clothing</v>
          </cell>
          <cell r="T174" t="str">
            <v>Shoes</v>
          </cell>
          <cell r="U174" t="str">
            <v>Clothing</v>
          </cell>
          <cell r="V174" t="str">
            <v>Average</v>
          </cell>
          <cell r="W174" t="str">
            <v>Average</v>
          </cell>
          <cell r="X174" t="str">
            <v>Same-Day</v>
          </cell>
          <cell r="Y174">
            <v>2</v>
          </cell>
          <cell r="Z174">
            <v>2</v>
          </cell>
        </row>
        <row r="175">
          <cell r="A175">
            <v>6885155</v>
          </cell>
          <cell r="B175">
            <v>89528</v>
          </cell>
          <cell r="C175" t="str">
            <v>Thomas Wilson</v>
          </cell>
          <cell r="D175" t="str">
            <v>Portsmouth</v>
          </cell>
          <cell r="E175" t="str">
            <v>England</v>
          </cell>
          <cell r="F175" t="str">
            <v>UK</v>
          </cell>
          <cell r="G175">
            <v>36</v>
          </cell>
          <cell r="H175">
            <v>36</v>
          </cell>
          <cell r="I175" t="str">
            <v>Male</v>
          </cell>
          <cell r="J175" t="str">
            <v>Male</v>
          </cell>
          <cell r="K175" t="str">
            <v>High</v>
          </cell>
          <cell r="L175" t="str">
            <v>Regular</v>
          </cell>
          <cell r="M175">
            <v>45332</v>
          </cell>
          <cell r="N175">
            <v>7</v>
          </cell>
          <cell r="O175">
            <v>7</v>
          </cell>
          <cell r="P175">
            <v>360.09199039999999</v>
          </cell>
          <cell r="Q175">
            <v>2520.6439329999998</v>
          </cell>
          <cell r="R175" t="str">
            <v>Electronics</v>
          </cell>
          <cell r="S175" t="str">
            <v>Electronics</v>
          </cell>
          <cell r="T175" t="str">
            <v>Television</v>
          </cell>
          <cell r="U175" t="str">
            <v>Electronics</v>
          </cell>
          <cell r="V175" t="str">
            <v>Good</v>
          </cell>
          <cell r="W175" t="str">
            <v>Good</v>
          </cell>
          <cell r="X175" t="str">
            <v>Standard</v>
          </cell>
          <cell r="Y175">
            <v>3</v>
          </cell>
          <cell r="Z175">
            <v>3</v>
          </cell>
        </row>
        <row r="176">
          <cell r="A176">
            <v>8744927</v>
          </cell>
          <cell r="B176">
            <v>39728</v>
          </cell>
          <cell r="C176" t="str">
            <v>Derek Perez</v>
          </cell>
          <cell r="D176" t="str">
            <v>Portsmouth</v>
          </cell>
          <cell r="E176" t="str">
            <v>England</v>
          </cell>
          <cell r="F176" t="str">
            <v>UK</v>
          </cell>
          <cell r="G176">
            <v>50</v>
          </cell>
          <cell r="H176">
            <v>50</v>
          </cell>
          <cell r="I176" t="str">
            <v>Male</v>
          </cell>
          <cell r="J176" t="str">
            <v>Male</v>
          </cell>
          <cell r="K176" t="str">
            <v>High</v>
          </cell>
          <cell r="L176" t="str">
            <v>Regular</v>
          </cell>
          <cell r="M176">
            <v>45130</v>
          </cell>
          <cell r="N176"/>
          <cell r="O176">
            <v>5.1843687374749496</v>
          </cell>
          <cell r="P176">
            <v>417.03400149999999</v>
          </cell>
          <cell r="Q176">
            <v>1251.102005</v>
          </cell>
          <cell r="R176" t="str">
            <v>Grocery</v>
          </cell>
          <cell r="S176" t="str">
            <v>Grocery</v>
          </cell>
          <cell r="T176" t="str">
            <v>Water</v>
          </cell>
          <cell r="U176" t="str">
            <v>Grocery</v>
          </cell>
          <cell r="V176" t="str">
            <v>Average</v>
          </cell>
          <cell r="W176" t="str">
            <v>Average</v>
          </cell>
          <cell r="X176" t="str">
            <v>Standard</v>
          </cell>
          <cell r="Y176">
            <v>2</v>
          </cell>
          <cell r="Z176">
            <v>2</v>
          </cell>
        </row>
        <row r="177">
          <cell r="A177">
            <v>8984831</v>
          </cell>
          <cell r="B177">
            <v>10237</v>
          </cell>
          <cell r="C177" t="str">
            <v>Michael Walker</v>
          </cell>
          <cell r="D177" t="str">
            <v>Portsmouth</v>
          </cell>
          <cell r="E177" t="str">
            <v>England</v>
          </cell>
          <cell r="F177" t="str">
            <v>UK</v>
          </cell>
          <cell r="G177">
            <v>64</v>
          </cell>
          <cell r="H177">
            <v>64</v>
          </cell>
          <cell r="I177" t="str">
            <v>Male</v>
          </cell>
          <cell r="J177" t="str">
            <v>Male</v>
          </cell>
          <cell r="K177" t="str">
            <v>Medium</v>
          </cell>
          <cell r="L177" t="str">
            <v>Regular</v>
          </cell>
          <cell r="M177">
            <v>45007</v>
          </cell>
          <cell r="N177">
            <v>4</v>
          </cell>
          <cell r="O177">
            <v>4</v>
          </cell>
          <cell r="P177">
            <v>404.8225205</v>
          </cell>
          <cell r="Q177">
            <v>1619.290082</v>
          </cell>
          <cell r="R177" t="str">
            <v>Books</v>
          </cell>
          <cell r="S177" t="str">
            <v>Books</v>
          </cell>
          <cell r="T177" t="str">
            <v>Literature</v>
          </cell>
          <cell r="U177" t="str">
            <v>Books</v>
          </cell>
          <cell r="V177" t="str">
            <v>Average</v>
          </cell>
          <cell r="W177" t="str">
            <v>Average</v>
          </cell>
          <cell r="X177" t="str">
            <v>Express</v>
          </cell>
          <cell r="Y177">
            <v>2</v>
          </cell>
          <cell r="Z177">
            <v>2</v>
          </cell>
        </row>
        <row r="178">
          <cell r="A178">
            <v>5104546</v>
          </cell>
          <cell r="B178">
            <v>25605</v>
          </cell>
          <cell r="C178" t="str">
            <v>Jim Hansen</v>
          </cell>
          <cell r="D178" t="str">
            <v>Portsmouth</v>
          </cell>
          <cell r="E178" t="str">
            <v>England</v>
          </cell>
          <cell r="F178" t="str">
            <v>UK</v>
          </cell>
          <cell r="G178">
            <v>60</v>
          </cell>
          <cell r="H178">
            <v>60</v>
          </cell>
          <cell r="I178" t="str">
            <v>Male</v>
          </cell>
          <cell r="J178" t="str">
            <v>Male</v>
          </cell>
          <cell r="K178" t="str">
            <v>Low</v>
          </cell>
          <cell r="L178" t="str">
            <v>Regular</v>
          </cell>
          <cell r="M178">
            <v>45275</v>
          </cell>
          <cell r="N178">
            <v>2</v>
          </cell>
          <cell r="O178">
            <v>2</v>
          </cell>
          <cell r="P178">
            <v>92.295434150000006</v>
          </cell>
          <cell r="Q178">
            <v>184.59086830000001</v>
          </cell>
          <cell r="R178" t="str">
            <v>Grocery</v>
          </cell>
          <cell r="S178" t="str">
            <v>Grocery</v>
          </cell>
          <cell r="T178" t="str">
            <v>Coffee</v>
          </cell>
          <cell r="U178" t="str">
            <v>Grocery</v>
          </cell>
          <cell r="V178" t="str">
            <v>Good</v>
          </cell>
          <cell r="W178" t="str">
            <v>Good</v>
          </cell>
          <cell r="X178" t="str">
            <v>Standard</v>
          </cell>
          <cell r="Y178">
            <v>4</v>
          </cell>
          <cell r="Z178">
            <v>4</v>
          </cell>
        </row>
        <row r="179">
          <cell r="A179">
            <v>7172567</v>
          </cell>
          <cell r="B179">
            <v>88816</v>
          </cell>
          <cell r="C179" t="str">
            <v>Michael Ramirez</v>
          </cell>
          <cell r="D179" t="str">
            <v>Portsmouth</v>
          </cell>
          <cell r="E179" t="str">
            <v>England</v>
          </cell>
          <cell r="F179" t="str">
            <v>UK</v>
          </cell>
          <cell r="G179">
            <v>43</v>
          </cell>
          <cell r="H179">
            <v>43</v>
          </cell>
          <cell r="I179" t="str">
            <v>Female</v>
          </cell>
          <cell r="J179" t="str">
            <v>Female</v>
          </cell>
          <cell r="K179" t="str">
            <v>Low</v>
          </cell>
          <cell r="L179" t="str">
            <v>Regular</v>
          </cell>
          <cell r="M179">
            <v>45172</v>
          </cell>
          <cell r="N179">
            <v>5</v>
          </cell>
          <cell r="O179">
            <v>5</v>
          </cell>
          <cell r="P179">
            <v>282.31417720000002</v>
          </cell>
          <cell r="Q179">
            <v>1411.570886</v>
          </cell>
          <cell r="R179" t="str">
            <v>Clothing</v>
          </cell>
          <cell r="S179" t="str">
            <v>Clothing</v>
          </cell>
          <cell r="T179" t="str">
            <v>Shirt</v>
          </cell>
          <cell r="U179" t="str">
            <v>Clothing</v>
          </cell>
          <cell r="V179" t="str">
            <v>Excellent</v>
          </cell>
          <cell r="W179" t="str">
            <v>Excellent</v>
          </cell>
          <cell r="X179" t="str">
            <v>Express</v>
          </cell>
          <cell r="Y179">
            <v>5</v>
          </cell>
          <cell r="Z179">
            <v>5</v>
          </cell>
        </row>
        <row r="180">
          <cell r="A180">
            <v>7948369</v>
          </cell>
          <cell r="B180">
            <v>75143</v>
          </cell>
          <cell r="C180" t="str">
            <v>Diane Stewart</v>
          </cell>
          <cell r="D180" t="str">
            <v>Portsmouth</v>
          </cell>
          <cell r="E180" t="str">
            <v>England</v>
          </cell>
          <cell r="F180" t="str">
            <v>UK</v>
          </cell>
          <cell r="G180">
            <v>59</v>
          </cell>
          <cell r="H180">
            <v>59</v>
          </cell>
          <cell r="I180" t="str">
            <v>Male</v>
          </cell>
          <cell r="J180" t="str">
            <v>Male</v>
          </cell>
          <cell r="K180" t="str">
            <v>High</v>
          </cell>
          <cell r="L180" t="str">
            <v>Regular</v>
          </cell>
          <cell r="M180">
            <v>45071</v>
          </cell>
          <cell r="N180">
            <v>5</v>
          </cell>
          <cell r="O180">
            <v>5</v>
          </cell>
          <cell r="P180">
            <v>327.57690250000002</v>
          </cell>
          <cell r="Q180">
            <v>1637.884513</v>
          </cell>
          <cell r="R180" t="str">
            <v>Home Decor</v>
          </cell>
          <cell r="S180" t="str">
            <v>Home Decor</v>
          </cell>
          <cell r="T180" t="str">
            <v>Kitchen</v>
          </cell>
          <cell r="U180" t="str">
            <v>Home Decor</v>
          </cell>
          <cell r="V180" t="str">
            <v>Bad</v>
          </cell>
          <cell r="W180" t="str">
            <v>Bad</v>
          </cell>
          <cell r="X180" t="str">
            <v>Same-Day</v>
          </cell>
          <cell r="Y180">
            <v>1</v>
          </cell>
          <cell r="Z180">
            <v>1</v>
          </cell>
        </row>
        <row r="181">
          <cell r="A181">
            <v>7491247</v>
          </cell>
          <cell r="B181">
            <v>12884</v>
          </cell>
          <cell r="C181" t="str">
            <v>Joseph Barnes</v>
          </cell>
          <cell r="D181" t="str">
            <v>Portsmouth</v>
          </cell>
          <cell r="E181" t="str">
            <v>England</v>
          </cell>
          <cell r="F181" t="str">
            <v>UK</v>
          </cell>
          <cell r="G181">
            <v>40</v>
          </cell>
          <cell r="H181">
            <v>40</v>
          </cell>
          <cell r="I181" t="str">
            <v>Male</v>
          </cell>
          <cell r="J181" t="str">
            <v>Male</v>
          </cell>
          <cell r="K181" t="str">
            <v>High</v>
          </cell>
          <cell r="L181" t="str">
            <v>Regular</v>
          </cell>
          <cell r="M181">
            <v>45052</v>
          </cell>
          <cell r="N181">
            <v>1</v>
          </cell>
          <cell r="O181">
            <v>1</v>
          </cell>
          <cell r="P181">
            <v>265.66431920000002</v>
          </cell>
          <cell r="Q181">
            <v>265.66431920000002</v>
          </cell>
          <cell r="R181" t="str">
            <v>Books</v>
          </cell>
          <cell r="S181" t="str">
            <v>Books</v>
          </cell>
          <cell r="T181" t="str">
            <v>Children's</v>
          </cell>
          <cell r="U181" t="str">
            <v>Books</v>
          </cell>
          <cell r="V181" t="str">
            <v>Excellent</v>
          </cell>
          <cell r="W181" t="str">
            <v>Excellent</v>
          </cell>
          <cell r="X181" t="str">
            <v>Same-Day</v>
          </cell>
          <cell r="Y181">
            <v>5</v>
          </cell>
          <cell r="Z181">
            <v>5</v>
          </cell>
        </row>
        <row r="182">
          <cell r="A182">
            <v>4122058</v>
          </cell>
          <cell r="B182">
            <v>47483</v>
          </cell>
          <cell r="C182" t="str">
            <v>Tonya Moss</v>
          </cell>
          <cell r="D182" t="str">
            <v>Portsmouth</v>
          </cell>
          <cell r="E182" t="str">
            <v>England</v>
          </cell>
          <cell r="F182" t="str">
            <v>UK</v>
          </cell>
          <cell r="G182">
            <v>68</v>
          </cell>
          <cell r="H182">
            <v>68</v>
          </cell>
          <cell r="I182" t="str">
            <v>Female</v>
          </cell>
          <cell r="J182" t="str">
            <v>Female</v>
          </cell>
          <cell r="K182" t="str">
            <v>Medium</v>
          </cell>
          <cell r="L182" t="str">
            <v>Regular</v>
          </cell>
          <cell r="M182">
            <v>45017</v>
          </cell>
          <cell r="N182">
            <v>2</v>
          </cell>
          <cell r="O182">
            <v>2</v>
          </cell>
          <cell r="P182">
            <v>248.59145229999999</v>
          </cell>
          <cell r="Q182">
            <v>497.18290450000001</v>
          </cell>
          <cell r="R182" t="str">
            <v>Home Decor</v>
          </cell>
          <cell r="S182" t="str">
            <v>Home Decor</v>
          </cell>
          <cell r="T182" t="str">
            <v>Decorations</v>
          </cell>
          <cell r="U182" t="str">
            <v>Home Decor</v>
          </cell>
          <cell r="V182" t="str">
            <v>Excellent</v>
          </cell>
          <cell r="W182" t="str">
            <v>Excellent</v>
          </cell>
          <cell r="X182" t="str">
            <v>Same-Day</v>
          </cell>
          <cell r="Y182">
            <v>5</v>
          </cell>
          <cell r="Z182">
            <v>5</v>
          </cell>
        </row>
        <row r="183">
          <cell r="A183">
            <v>6438013</v>
          </cell>
          <cell r="B183">
            <v>33012</v>
          </cell>
          <cell r="C183" t="str">
            <v>Sarah Reyes</v>
          </cell>
          <cell r="D183" t="str">
            <v>Portsmouth</v>
          </cell>
          <cell r="E183" t="str">
            <v>England</v>
          </cell>
          <cell r="F183" t="str">
            <v>UK</v>
          </cell>
          <cell r="G183">
            <v>21</v>
          </cell>
          <cell r="H183">
            <v>21</v>
          </cell>
          <cell r="I183" t="str">
            <v>Male</v>
          </cell>
          <cell r="J183" t="str">
            <v>Male</v>
          </cell>
          <cell r="K183" t="str">
            <v>Low</v>
          </cell>
          <cell r="L183" t="str">
            <v>Regular</v>
          </cell>
          <cell r="M183">
            <v>45089</v>
          </cell>
          <cell r="N183">
            <v>10</v>
          </cell>
          <cell r="O183">
            <v>10</v>
          </cell>
          <cell r="P183">
            <v>336.64404910000002</v>
          </cell>
          <cell r="Q183">
            <v>3366.4404909999998</v>
          </cell>
          <cell r="R183" t="str">
            <v>Home Decor</v>
          </cell>
          <cell r="S183" t="str">
            <v>Home Decor</v>
          </cell>
          <cell r="T183" t="str">
            <v>Decorations</v>
          </cell>
          <cell r="U183" t="str">
            <v>Home Decor</v>
          </cell>
          <cell r="V183" t="str">
            <v>Good</v>
          </cell>
          <cell r="W183" t="str">
            <v>Good</v>
          </cell>
          <cell r="X183" t="str">
            <v>Standard</v>
          </cell>
          <cell r="Y183">
            <v>4</v>
          </cell>
          <cell r="Z183">
            <v>4</v>
          </cell>
        </row>
        <row r="184">
          <cell r="A184">
            <v>6011814</v>
          </cell>
          <cell r="B184">
            <v>74001</v>
          </cell>
          <cell r="C184" t="str">
            <v>Craig Powell</v>
          </cell>
          <cell r="D184" t="str">
            <v>Portsmouth</v>
          </cell>
          <cell r="E184" t="str">
            <v>England</v>
          </cell>
          <cell r="F184" t="str">
            <v>UK</v>
          </cell>
          <cell r="G184">
            <v>70</v>
          </cell>
          <cell r="H184">
            <v>70</v>
          </cell>
          <cell r="I184" t="str">
            <v>Male</v>
          </cell>
          <cell r="J184" t="str">
            <v>Male</v>
          </cell>
          <cell r="K184" t="str">
            <v>Medium</v>
          </cell>
          <cell r="L184" t="str">
            <v>Regular</v>
          </cell>
          <cell r="M184">
            <v>45329</v>
          </cell>
          <cell r="N184">
            <v>9</v>
          </cell>
          <cell r="O184">
            <v>9</v>
          </cell>
          <cell r="P184">
            <v>147.00276830000001</v>
          </cell>
          <cell r="Q184">
            <v>1323.024915</v>
          </cell>
          <cell r="R184" t="str">
            <v>Books</v>
          </cell>
          <cell r="S184" t="str">
            <v>Books</v>
          </cell>
          <cell r="T184" t="str">
            <v>Non-Fiction</v>
          </cell>
          <cell r="U184" t="str">
            <v>Books</v>
          </cell>
          <cell r="V184" t="str">
            <v>Bad</v>
          </cell>
          <cell r="W184" t="str">
            <v>Bad</v>
          </cell>
          <cell r="X184" t="str">
            <v>Standard</v>
          </cell>
          <cell r="Y184">
            <v>1</v>
          </cell>
          <cell r="Z184">
            <v>1</v>
          </cell>
        </row>
        <row r="185">
          <cell r="A185">
            <v>2946521</v>
          </cell>
          <cell r="B185">
            <v>66660</v>
          </cell>
          <cell r="C185" t="str">
            <v>Margaret Kaufman</v>
          </cell>
          <cell r="D185" t="str">
            <v>Portsmouth</v>
          </cell>
          <cell r="E185" t="str">
            <v>England</v>
          </cell>
          <cell r="F185" t="str">
            <v>UK</v>
          </cell>
          <cell r="G185">
            <v>47</v>
          </cell>
          <cell r="H185">
            <v>47</v>
          </cell>
          <cell r="I185" t="str">
            <v>Female</v>
          </cell>
          <cell r="J185" t="str">
            <v>Female</v>
          </cell>
          <cell r="K185" t="str">
            <v>Medium</v>
          </cell>
          <cell r="L185" t="str">
            <v>Regular</v>
          </cell>
          <cell r="M185">
            <v>45226</v>
          </cell>
          <cell r="N185">
            <v>1</v>
          </cell>
          <cell r="O185">
            <v>1</v>
          </cell>
          <cell r="P185">
            <v>478.4058455</v>
          </cell>
          <cell r="Q185">
            <v>478.4058455</v>
          </cell>
          <cell r="R185" t="str">
            <v>Electronics</v>
          </cell>
          <cell r="S185" t="str">
            <v>Electronics</v>
          </cell>
          <cell r="T185" t="str">
            <v>Tablet</v>
          </cell>
          <cell r="U185" t="str">
            <v>Electronics</v>
          </cell>
          <cell r="V185" t="str">
            <v>Bad</v>
          </cell>
          <cell r="W185" t="str">
            <v>Bad</v>
          </cell>
          <cell r="X185" t="str">
            <v>Standard</v>
          </cell>
          <cell r="Y185">
            <v>1</v>
          </cell>
          <cell r="Z185">
            <v>1</v>
          </cell>
        </row>
        <row r="186">
          <cell r="A186">
            <v>1823051</v>
          </cell>
          <cell r="B186">
            <v>48512</v>
          </cell>
          <cell r="C186" t="str">
            <v>Crystal Edwards</v>
          </cell>
          <cell r="D186" t="str">
            <v>Portsmouth</v>
          </cell>
          <cell r="E186" t="str">
            <v>England</v>
          </cell>
          <cell r="F186" t="str">
            <v>UK</v>
          </cell>
          <cell r="G186">
            <v>62</v>
          </cell>
          <cell r="H186">
            <v>62</v>
          </cell>
          <cell r="I186" t="str">
            <v>Female</v>
          </cell>
          <cell r="J186" t="str">
            <v>Female</v>
          </cell>
          <cell r="K186" t="str">
            <v>Low</v>
          </cell>
          <cell r="L186" t="str">
            <v>Regular</v>
          </cell>
          <cell r="M186">
            <v>45175</v>
          </cell>
          <cell r="N186">
            <v>4</v>
          </cell>
          <cell r="O186">
            <v>4</v>
          </cell>
          <cell r="P186">
            <v>488.02867379999998</v>
          </cell>
          <cell r="Q186">
            <v>1952.114695</v>
          </cell>
          <cell r="R186" t="str">
            <v>Books</v>
          </cell>
          <cell r="S186" t="str">
            <v>Books</v>
          </cell>
          <cell r="T186" t="str">
            <v>Non-Fiction</v>
          </cell>
          <cell r="U186" t="str">
            <v>Books</v>
          </cell>
          <cell r="V186" t="str">
            <v>Excellent</v>
          </cell>
          <cell r="W186" t="str">
            <v>Excellent</v>
          </cell>
          <cell r="X186" t="str">
            <v>Same-Day</v>
          </cell>
          <cell r="Y186">
            <v>4</v>
          </cell>
          <cell r="Z186">
            <v>4</v>
          </cell>
        </row>
        <row r="187">
          <cell r="A187">
            <v>5090778</v>
          </cell>
          <cell r="B187">
            <v>88539</v>
          </cell>
          <cell r="C187" t="str">
            <v>Anne Andrews</v>
          </cell>
          <cell r="D187" t="str">
            <v>Portsmouth</v>
          </cell>
          <cell r="E187" t="str">
            <v>England</v>
          </cell>
          <cell r="F187" t="str">
            <v>UK</v>
          </cell>
          <cell r="G187">
            <v>35</v>
          </cell>
          <cell r="H187">
            <v>35</v>
          </cell>
          <cell r="I187" t="str">
            <v>Male</v>
          </cell>
          <cell r="J187" t="str">
            <v>Male</v>
          </cell>
          <cell r="K187" t="str">
            <v>Low</v>
          </cell>
          <cell r="L187" t="str">
            <v>Regular</v>
          </cell>
          <cell r="M187">
            <v>45204</v>
          </cell>
          <cell r="N187">
            <v>6</v>
          </cell>
          <cell r="O187">
            <v>6</v>
          </cell>
          <cell r="P187">
            <v>357.98491619999999</v>
          </cell>
          <cell r="Q187">
            <v>2147.9094970000001</v>
          </cell>
          <cell r="R187" t="str">
            <v>Books</v>
          </cell>
          <cell r="S187" t="str">
            <v>Books</v>
          </cell>
          <cell r="T187" t="str">
            <v>Non-Fiction</v>
          </cell>
          <cell r="U187" t="str">
            <v>Books</v>
          </cell>
          <cell r="V187" t="str">
            <v>Average</v>
          </cell>
          <cell r="W187" t="str">
            <v>Average</v>
          </cell>
          <cell r="X187" t="str">
            <v>Same-Day</v>
          </cell>
          <cell r="Y187">
            <v>2</v>
          </cell>
          <cell r="Z187">
            <v>2</v>
          </cell>
        </row>
        <row r="188">
          <cell r="A188">
            <v>7839518</v>
          </cell>
          <cell r="B188">
            <v>22236</v>
          </cell>
          <cell r="C188" t="str">
            <v>Vincent Lewis</v>
          </cell>
          <cell r="D188" t="str">
            <v>Portsmouth</v>
          </cell>
          <cell r="E188" t="str">
            <v>England</v>
          </cell>
          <cell r="F188" t="str">
            <v>UK</v>
          </cell>
          <cell r="G188">
            <v>40</v>
          </cell>
          <cell r="H188">
            <v>40</v>
          </cell>
          <cell r="I188" t="str">
            <v>Male</v>
          </cell>
          <cell r="J188" t="str">
            <v>Male</v>
          </cell>
          <cell r="K188" t="str">
            <v>Medium</v>
          </cell>
          <cell r="L188" t="str">
            <v>Regular</v>
          </cell>
          <cell r="M188">
            <v>45019</v>
          </cell>
          <cell r="N188">
            <v>1</v>
          </cell>
          <cell r="O188">
            <v>1</v>
          </cell>
          <cell r="P188">
            <v>418.65792099999999</v>
          </cell>
          <cell r="Q188">
            <v>418.65792099999999</v>
          </cell>
          <cell r="R188" t="str">
            <v>Grocery</v>
          </cell>
          <cell r="S188" t="str">
            <v>Grocery</v>
          </cell>
          <cell r="T188" t="str">
            <v>Soft Drink</v>
          </cell>
          <cell r="U188" t="str">
            <v>Grocery</v>
          </cell>
          <cell r="V188" t="str">
            <v>Bad</v>
          </cell>
          <cell r="W188" t="str">
            <v>Bad</v>
          </cell>
          <cell r="X188" t="str">
            <v>Standard</v>
          </cell>
          <cell r="Y188">
            <v>1</v>
          </cell>
          <cell r="Z188">
            <v>1</v>
          </cell>
        </row>
        <row r="189">
          <cell r="A189">
            <v>9480668</v>
          </cell>
          <cell r="B189">
            <v>52755</v>
          </cell>
          <cell r="C189" t="str">
            <v>Alexandra Daniel</v>
          </cell>
          <cell r="D189" t="str">
            <v>Portsmouth</v>
          </cell>
          <cell r="E189" t="str">
            <v>England</v>
          </cell>
          <cell r="F189" t="str">
            <v>UK</v>
          </cell>
          <cell r="G189">
            <v>20</v>
          </cell>
          <cell r="H189">
            <v>20</v>
          </cell>
          <cell r="I189" t="str">
            <v>Male</v>
          </cell>
          <cell r="J189" t="str">
            <v>Male</v>
          </cell>
          <cell r="K189" t="str">
            <v>Low</v>
          </cell>
          <cell r="L189" t="str">
            <v>Regular</v>
          </cell>
          <cell r="M189">
            <v>45289</v>
          </cell>
          <cell r="N189">
            <v>5</v>
          </cell>
          <cell r="O189">
            <v>5</v>
          </cell>
          <cell r="P189">
            <v>222.40230700000001</v>
          </cell>
          <cell r="Q189">
            <v>1112.0115350000001</v>
          </cell>
          <cell r="R189" t="str">
            <v>Clothing</v>
          </cell>
          <cell r="S189" t="str">
            <v>Clothing</v>
          </cell>
          <cell r="T189" t="str">
            <v>Shorts</v>
          </cell>
          <cell r="U189" t="str">
            <v>Clothing</v>
          </cell>
          <cell r="V189" t="str">
            <v>Bad</v>
          </cell>
          <cell r="W189" t="str">
            <v>Bad</v>
          </cell>
          <cell r="X189" t="str">
            <v>Same-Day</v>
          </cell>
          <cell r="Y189">
            <v>1</v>
          </cell>
          <cell r="Z189">
            <v>1</v>
          </cell>
        </row>
        <row r="190">
          <cell r="A190">
            <v>5621422</v>
          </cell>
          <cell r="B190">
            <v>88053</v>
          </cell>
          <cell r="C190" t="str">
            <v>Laura Castillo</v>
          </cell>
          <cell r="D190" t="str">
            <v>Portsmouth</v>
          </cell>
          <cell r="E190" t="str">
            <v>England</v>
          </cell>
          <cell r="F190" t="str">
            <v>UK</v>
          </cell>
          <cell r="G190">
            <v>55</v>
          </cell>
          <cell r="H190">
            <v>55</v>
          </cell>
          <cell r="I190" t="str">
            <v>Male</v>
          </cell>
          <cell r="J190" t="str">
            <v>Male</v>
          </cell>
          <cell r="K190" t="str">
            <v>High</v>
          </cell>
          <cell r="L190" t="str">
            <v>Regular</v>
          </cell>
          <cell r="M190">
            <v>45136</v>
          </cell>
          <cell r="N190">
            <v>7</v>
          </cell>
          <cell r="O190">
            <v>7</v>
          </cell>
          <cell r="P190">
            <v>325.64255009999999</v>
          </cell>
          <cell r="Q190">
            <v>2279.4978510000001</v>
          </cell>
          <cell r="R190" t="str">
            <v>Books</v>
          </cell>
          <cell r="S190" t="str">
            <v>Books</v>
          </cell>
          <cell r="T190" t="str">
            <v>Non-Fiction</v>
          </cell>
          <cell r="U190" t="str">
            <v>Books</v>
          </cell>
          <cell r="V190" t="str">
            <v>Bad</v>
          </cell>
          <cell r="W190" t="str">
            <v>Bad</v>
          </cell>
          <cell r="X190" t="str">
            <v>Same-Day</v>
          </cell>
          <cell r="Y190">
            <v>1</v>
          </cell>
          <cell r="Z190">
            <v>1</v>
          </cell>
        </row>
        <row r="191">
          <cell r="A191">
            <v>9250956</v>
          </cell>
          <cell r="B191">
            <v>73450</v>
          </cell>
          <cell r="C191" t="str">
            <v>Christopher Burke</v>
          </cell>
          <cell r="D191" t="str">
            <v>Portsmouth</v>
          </cell>
          <cell r="E191" t="str">
            <v>England</v>
          </cell>
          <cell r="F191" t="str">
            <v>UK</v>
          </cell>
          <cell r="G191">
            <v>36</v>
          </cell>
          <cell r="H191">
            <v>36</v>
          </cell>
          <cell r="I191" t="str">
            <v>Female</v>
          </cell>
          <cell r="J191" t="str">
            <v>Female</v>
          </cell>
          <cell r="K191" t="str">
            <v>Medium</v>
          </cell>
          <cell r="L191" t="str">
            <v>Regular</v>
          </cell>
          <cell r="M191">
            <v>45302</v>
          </cell>
          <cell r="N191">
            <v>8</v>
          </cell>
          <cell r="O191">
            <v>8</v>
          </cell>
          <cell r="P191">
            <v>98.068329969999994</v>
          </cell>
          <cell r="Q191">
            <v>784.54663970000001</v>
          </cell>
          <cell r="R191" t="str">
            <v>Clothing</v>
          </cell>
          <cell r="S191" t="str">
            <v>Clothing</v>
          </cell>
          <cell r="T191" t="str">
            <v>Dress</v>
          </cell>
          <cell r="U191" t="str">
            <v>Clothing</v>
          </cell>
          <cell r="V191" t="str">
            <v>Good</v>
          </cell>
          <cell r="W191" t="str">
            <v>Good</v>
          </cell>
          <cell r="X191" t="str">
            <v>Same-Day</v>
          </cell>
          <cell r="Y191">
            <v>4</v>
          </cell>
          <cell r="Z191">
            <v>4</v>
          </cell>
        </row>
        <row r="192">
          <cell r="A192">
            <v>4830596</v>
          </cell>
          <cell r="B192">
            <v>74006</v>
          </cell>
          <cell r="C192" t="str">
            <v>Gabriel Lamb</v>
          </cell>
          <cell r="D192" t="str">
            <v>Portsmouth</v>
          </cell>
          <cell r="E192" t="str">
            <v>England</v>
          </cell>
          <cell r="F192" t="str">
            <v>UK</v>
          </cell>
          <cell r="G192">
            <v>36</v>
          </cell>
          <cell r="H192">
            <v>36</v>
          </cell>
          <cell r="I192" t="str">
            <v>Male</v>
          </cell>
          <cell r="J192" t="str">
            <v>Male</v>
          </cell>
          <cell r="K192" t="str">
            <v>Medium</v>
          </cell>
          <cell r="L192" t="str">
            <v>Regular</v>
          </cell>
          <cell r="M192">
            <v>45092</v>
          </cell>
          <cell r="N192">
            <v>9</v>
          </cell>
          <cell r="O192">
            <v>9</v>
          </cell>
          <cell r="P192">
            <v>45.424849889999997</v>
          </cell>
          <cell r="Q192">
            <v>408.82364899999999</v>
          </cell>
          <cell r="R192" t="str">
            <v>Grocery</v>
          </cell>
          <cell r="S192" t="str">
            <v>Grocery</v>
          </cell>
          <cell r="T192" t="str">
            <v>Juice</v>
          </cell>
          <cell r="U192" t="str">
            <v>Grocery</v>
          </cell>
          <cell r="V192" t="str">
            <v>Excellent</v>
          </cell>
          <cell r="W192" t="str">
            <v>Excellent</v>
          </cell>
          <cell r="X192" t="str">
            <v>Express</v>
          </cell>
          <cell r="Y192">
            <v>5</v>
          </cell>
          <cell r="Z192">
            <v>5</v>
          </cell>
        </row>
        <row r="193">
          <cell r="A193">
            <v>2981505</v>
          </cell>
          <cell r="B193">
            <v>82037</v>
          </cell>
          <cell r="C193" t="str">
            <v>Jennifer Stone</v>
          </cell>
          <cell r="D193" t="str">
            <v>Portsmouth</v>
          </cell>
          <cell r="E193" t="str">
            <v>England</v>
          </cell>
          <cell r="F193" t="str">
            <v>UK</v>
          </cell>
          <cell r="G193">
            <v>51</v>
          </cell>
          <cell r="H193">
            <v>51</v>
          </cell>
          <cell r="I193" t="str">
            <v>Male</v>
          </cell>
          <cell r="J193" t="str">
            <v>Male</v>
          </cell>
          <cell r="K193" t="str">
            <v>Low</v>
          </cell>
          <cell r="L193" t="str">
            <v>Regular</v>
          </cell>
          <cell r="M193">
            <v>45256</v>
          </cell>
          <cell r="N193">
            <v>1</v>
          </cell>
          <cell r="O193">
            <v>1</v>
          </cell>
          <cell r="P193">
            <v>302.87176570000003</v>
          </cell>
          <cell r="Q193">
            <v>302.87176570000003</v>
          </cell>
          <cell r="R193" t="str">
            <v>Electronics</v>
          </cell>
          <cell r="S193" t="str">
            <v>Electronics</v>
          </cell>
          <cell r="T193" t="str">
            <v>Tablet</v>
          </cell>
          <cell r="U193" t="str">
            <v>Electronics</v>
          </cell>
          <cell r="V193" t="str">
            <v>Bad</v>
          </cell>
          <cell r="W193" t="str">
            <v>Bad</v>
          </cell>
          <cell r="X193" t="str">
            <v>Same-Day</v>
          </cell>
          <cell r="Y193">
            <v>1</v>
          </cell>
          <cell r="Z193">
            <v>1</v>
          </cell>
        </row>
        <row r="194">
          <cell r="A194">
            <v>9696802</v>
          </cell>
          <cell r="B194">
            <v>64755</v>
          </cell>
          <cell r="C194" t="str">
            <v>Natasha Carroll</v>
          </cell>
          <cell r="D194" t="str">
            <v>Portsmouth</v>
          </cell>
          <cell r="E194" t="str">
            <v>England</v>
          </cell>
          <cell r="F194" t="str">
            <v>UK</v>
          </cell>
          <cell r="G194">
            <v>47</v>
          </cell>
          <cell r="H194">
            <v>47</v>
          </cell>
          <cell r="I194" t="str">
            <v>Male</v>
          </cell>
          <cell r="J194" t="str">
            <v>Male</v>
          </cell>
          <cell r="K194" t="str">
            <v>Low</v>
          </cell>
          <cell r="L194" t="str">
            <v>Regular</v>
          </cell>
          <cell r="M194">
            <v>45291</v>
          </cell>
          <cell r="N194">
            <v>8</v>
          </cell>
          <cell r="O194">
            <v>8</v>
          </cell>
          <cell r="P194">
            <v>232.16704960000001</v>
          </cell>
          <cell r="Q194">
            <v>1857.336397</v>
          </cell>
          <cell r="R194" t="str">
            <v>Clothing</v>
          </cell>
          <cell r="S194" t="str">
            <v>Clothing</v>
          </cell>
          <cell r="T194" t="str">
            <v>T-shirt</v>
          </cell>
          <cell r="U194" t="str">
            <v>Clothing</v>
          </cell>
          <cell r="V194" t="str">
            <v>Excellent</v>
          </cell>
          <cell r="W194" t="str">
            <v>Excellent</v>
          </cell>
          <cell r="X194" t="str">
            <v>Same-Day</v>
          </cell>
          <cell r="Y194">
            <v>5</v>
          </cell>
          <cell r="Z194">
            <v>5</v>
          </cell>
        </row>
        <row r="195">
          <cell r="A195">
            <v>9531502</v>
          </cell>
          <cell r="B195">
            <v>97514</v>
          </cell>
          <cell r="C195" t="str">
            <v>Amanda Moore DDS</v>
          </cell>
          <cell r="D195" t="str">
            <v>Portsmouth</v>
          </cell>
          <cell r="E195" t="str">
            <v>England</v>
          </cell>
          <cell r="F195" t="str">
            <v>UK</v>
          </cell>
          <cell r="G195">
            <v>67</v>
          </cell>
          <cell r="H195">
            <v>67</v>
          </cell>
          <cell r="I195" t="str">
            <v>Male</v>
          </cell>
          <cell r="J195" t="str">
            <v>Male</v>
          </cell>
          <cell r="K195" t="str">
            <v>Medium</v>
          </cell>
          <cell r="L195" t="str">
            <v>Regular</v>
          </cell>
          <cell r="M195">
            <v>45202</v>
          </cell>
          <cell r="N195">
            <v>5</v>
          </cell>
          <cell r="O195">
            <v>5</v>
          </cell>
          <cell r="P195">
            <v>326.97308349999997</v>
          </cell>
          <cell r="Q195">
            <v>1634.865417</v>
          </cell>
          <cell r="R195" t="str">
            <v>Books</v>
          </cell>
          <cell r="S195" t="str">
            <v>Books</v>
          </cell>
          <cell r="T195" t="str">
            <v>Non-Fiction</v>
          </cell>
          <cell r="U195" t="str">
            <v>Books</v>
          </cell>
          <cell r="V195" t="str">
            <v>Excellent</v>
          </cell>
          <cell r="W195" t="str">
            <v>Excellent</v>
          </cell>
          <cell r="X195" t="str">
            <v>Express</v>
          </cell>
          <cell r="Y195">
            <v>5</v>
          </cell>
          <cell r="Z195">
            <v>5</v>
          </cell>
        </row>
        <row r="196">
          <cell r="A196">
            <v>1895008</v>
          </cell>
          <cell r="B196">
            <v>77277</v>
          </cell>
          <cell r="C196" t="str">
            <v>Nathan Nelson</v>
          </cell>
          <cell r="D196" t="str">
            <v>Portsmouth</v>
          </cell>
          <cell r="E196" t="str">
            <v>England</v>
          </cell>
          <cell r="F196" t="str">
            <v>UK</v>
          </cell>
          <cell r="G196">
            <v>26</v>
          </cell>
          <cell r="H196">
            <v>26</v>
          </cell>
          <cell r="I196" t="str">
            <v>Male</v>
          </cell>
          <cell r="J196" t="str">
            <v>Male</v>
          </cell>
          <cell r="K196" t="str">
            <v>Low</v>
          </cell>
          <cell r="L196" t="str">
            <v>Regular</v>
          </cell>
          <cell r="M196">
            <v>45165</v>
          </cell>
          <cell r="N196">
            <v>9</v>
          </cell>
          <cell r="O196">
            <v>9</v>
          </cell>
          <cell r="P196">
            <v>253.10019779999999</v>
          </cell>
          <cell r="Q196">
            <v>2277.9017800000001</v>
          </cell>
          <cell r="R196" t="str">
            <v>Books</v>
          </cell>
          <cell r="S196" t="str">
            <v>Books</v>
          </cell>
          <cell r="T196" t="str">
            <v>Thriller</v>
          </cell>
          <cell r="U196" t="str">
            <v>Books</v>
          </cell>
          <cell r="V196" t="str">
            <v>Bad</v>
          </cell>
          <cell r="W196" t="str">
            <v>Bad</v>
          </cell>
          <cell r="X196" t="str">
            <v>Standard</v>
          </cell>
          <cell r="Y196">
            <v>1</v>
          </cell>
          <cell r="Z196">
            <v>1</v>
          </cell>
        </row>
        <row r="197">
          <cell r="A197">
            <v>9970701</v>
          </cell>
          <cell r="B197">
            <v>79487</v>
          </cell>
          <cell r="C197" t="str">
            <v>Elizabeth Rowe</v>
          </cell>
          <cell r="D197" t="str">
            <v>Portsmouth</v>
          </cell>
          <cell r="E197" t="str">
            <v>England</v>
          </cell>
          <cell r="F197" t="str">
            <v>UK</v>
          </cell>
          <cell r="G197">
            <v>39</v>
          </cell>
          <cell r="H197">
            <v>39</v>
          </cell>
          <cell r="I197" t="str">
            <v>Male</v>
          </cell>
          <cell r="J197" t="str">
            <v>Male</v>
          </cell>
          <cell r="K197" t="str">
            <v>Low</v>
          </cell>
          <cell r="L197" t="str">
            <v>Regular</v>
          </cell>
          <cell r="M197">
            <v>45346</v>
          </cell>
          <cell r="N197">
            <v>2</v>
          </cell>
          <cell r="O197">
            <v>2</v>
          </cell>
          <cell r="P197">
            <v>489.81710470000002</v>
          </cell>
          <cell r="Q197">
            <v>979.63420940000003</v>
          </cell>
          <cell r="R197" t="str">
            <v>Books</v>
          </cell>
          <cell r="S197" t="str">
            <v>Books</v>
          </cell>
          <cell r="T197" t="str">
            <v>Fiction</v>
          </cell>
          <cell r="U197" t="str">
            <v>Books</v>
          </cell>
          <cell r="V197" t="str">
            <v>Average</v>
          </cell>
          <cell r="W197" t="str">
            <v>Average</v>
          </cell>
          <cell r="X197" t="str">
            <v>Same-Day</v>
          </cell>
          <cell r="Y197">
            <v>2</v>
          </cell>
          <cell r="Z197">
            <v>2</v>
          </cell>
        </row>
        <row r="198">
          <cell r="A198">
            <v>3271164</v>
          </cell>
          <cell r="B198">
            <v>73524</v>
          </cell>
          <cell r="C198" t="str">
            <v>Jonathan Miller</v>
          </cell>
          <cell r="D198" t="str">
            <v>Portsmouth</v>
          </cell>
          <cell r="E198" t="str">
            <v>England</v>
          </cell>
          <cell r="F198" t="str">
            <v>UK</v>
          </cell>
          <cell r="G198">
            <v>51</v>
          </cell>
          <cell r="H198">
            <v>51</v>
          </cell>
          <cell r="I198" t="str">
            <v>Male</v>
          </cell>
          <cell r="J198" t="str">
            <v>Male</v>
          </cell>
          <cell r="K198" t="str">
            <v>Low</v>
          </cell>
          <cell r="L198" t="str">
            <v>Regular</v>
          </cell>
          <cell r="M198">
            <v>45142</v>
          </cell>
          <cell r="N198">
            <v>4</v>
          </cell>
          <cell r="O198">
            <v>4</v>
          </cell>
          <cell r="P198">
            <v>273.23596930000002</v>
          </cell>
          <cell r="Q198">
            <v>1092.9438769999999</v>
          </cell>
          <cell r="R198" t="str">
            <v>Clothing</v>
          </cell>
          <cell r="S198" t="str">
            <v>Clothing</v>
          </cell>
          <cell r="T198" t="str">
            <v>T-shirt</v>
          </cell>
          <cell r="U198" t="str">
            <v>Clothing</v>
          </cell>
          <cell r="V198" t="str">
            <v>Good</v>
          </cell>
          <cell r="W198" t="str">
            <v>Good</v>
          </cell>
          <cell r="X198" t="str">
            <v>Same-Day</v>
          </cell>
          <cell r="Y198">
            <v>3</v>
          </cell>
          <cell r="Z198">
            <v>3</v>
          </cell>
        </row>
        <row r="199">
          <cell r="A199">
            <v>8039295</v>
          </cell>
          <cell r="B199">
            <v>77202</v>
          </cell>
          <cell r="C199" t="str">
            <v>Jamie Morales</v>
          </cell>
          <cell r="D199" t="str">
            <v>Portsmouth</v>
          </cell>
          <cell r="E199" t="str">
            <v>England</v>
          </cell>
          <cell r="F199" t="str">
            <v>UK</v>
          </cell>
          <cell r="G199">
            <v>56</v>
          </cell>
          <cell r="H199">
            <v>56</v>
          </cell>
          <cell r="I199" t="str">
            <v>Male</v>
          </cell>
          <cell r="J199" t="str">
            <v>Male</v>
          </cell>
          <cell r="K199" t="str">
            <v>Medium</v>
          </cell>
          <cell r="L199" t="str">
            <v>Regular</v>
          </cell>
          <cell r="M199">
            <v>45213</v>
          </cell>
          <cell r="N199">
            <v>7</v>
          </cell>
          <cell r="O199">
            <v>7</v>
          </cell>
          <cell r="P199">
            <v>488.37157819999999</v>
          </cell>
          <cell r="Q199">
            <v>3418.6010470000001</v>
          </cell>
          <cell r="R199" t="str">
            <v>Grocery</v>
          </cell>
          <cell r="S199" t="str">
            <v>Grocery</v>
          </cell>
          <cell r="T199" t="str">
            <v>Water</v>
          </cell>
          <cell r="U199" t="str">
            <v>Grocery</v>
          </cell>
          <cell r="V199" t="str">
            <v>Bad</v>
          </cell>
          <cell r="W199" t="str">
            <v>Bad</v>
          </cell>
          <cell r="X199" t="str">
            <v>Express</v>
          </cell>
          <cell r="Y199">
            <v>1</v>
          </cell>
          <cell r="Z199">
            <v>1</v>
          </cell>
        </row>
        <row r="200">
          <cell r="A200">
            <v>8117738</v>
          </cell>
          <cell r="B200">
            <v>61206</v>
          </cell>
          <cell r="C200" t="str">
            <v>Alexandria Gonzalez</v>
          </cell>
          <cell r="D200" t="str">
            <v>Portsmouth</v>
          </cell>
          <cell r="E200" t="str">
            <v>England</v>
          </cell>
          <cell r="F200" t="str">
            <v>UK</v>
          </cell>
          <cell r="G200">
            <v>34</v>
          </cell>
          <cell r="H200">
            <v>34</v>
          </cell>
          <cell r="I200" t="str">
            <v>Male</v>
          </cell>
          <cell r="J200" t="str">
            <v>Male</v>
          </cell>
          <cell r="K200" t="str">
            <v>Medium</v>
          </cell>
          <cell r="L200" t="str">
            <v>Regular</v>
          </cell>
          <cell r="M200">
            <v>45260</v>
          </cell>
          <cell r="N200">
            <v>4</v>
          </cell>
          <cell r="O200">
            <v>4</v>
          </cell>
          <cell r="P200">
            <v>304.07871940000001</v>
          </cell>
          <cell r="Q200">
            <v>1216.3148779999999</v>
          </cell>
          <cell r="R200" t="str">
            <v>Home Decor</v>
          </cell>
          <cell r="S200" t="str">
            <v>Home Decor</v>
          </cell>
          <cell r="T200" t="str">
            <v>Decorations</v>
          </cell>
          <cell r="U200" t="str">
            <v>Home Decor</v>
          </cell>
          <cell r="V200" t="str">
            <v>Bad</v>
          </cell>
          <cell r="W200" t="str">
            <v>Bad</v>
          </cell>
          <cell r="X200" t="str">
            <v>Standard</v>
          </cell>
          <cell r="Y200">
            <v>1</v>
          </cell>
          <cell r="Z200">
            <v>1</v>
          </cell>
        </row>
        <row r="201">
          <cell r="A201">
            <v>5573833</v>
          </cell>
          <cell r="B201">
            <v>79248</v>
          </cell>
          <cell r="C201" t="str">
            <v>Gregory Reed</v>
          </cell>
          <cell r="D201" t="str">
            <v>Portsmouth</v>
          </cell>
          <cell r="E201" t="str">
            <v>England</v>
          </cell>
          <cell r="F201" t="str">
            <v>UK</v>
          </cell>
          <cell r="G201">
            <v>67</v>
          </cell>
          <cell r="H201">
            <v>67</v>
          </cell>
          <cell r="I201" t="str">
            <v>Male</v>
          </cell>
          <cell r="J201" t="str">
            <v>Male</v>
          </cell>
          <cell r="K201" t="str">
            <v>Medium</v>
          </cell>
          <cell r="L201" t="str">
            <v>Regular</v>
          </cell>
          <cell r="M201">
            <v>45287</v>
          </cell>
          <cell r="N201">
            <v>2</v>
          </cell>
          <cell r="O201">
            <v>2</v>
          </cell>
          <cell r="P201">
            <v>218.73834120000001</v>
          </cell>
          <cell r="Q201">
            <v>437.47668240000002</v>
          </cell>
          <cell r="R201" t="str">
            <v>Clothing</v>
          </cell>
          <cell r="S201" t="str">
            <v>Clothing</v>
          </cell>
          <cell r="T201" t="str">
            <v>Shoes</v>
          </cell>
          <cell r="U201" t="str">
            <v>Clothing</v>
          </cell>
          <cell r="V201" t="str">
            <v>Excellent</v>
          </cell>
          <cell r="W201" t="str">
            <v>Excellent</v>
          </cell>
          <cell r="X201" t="str">
            <v>Same-Day</v>
          </cell>
          <cell r="Y201">
            <v>4</v>
          </cell>
          <cell r="Z201">
            <v>4</v>
          </cell>
        </row>
        <row r="202">
          <cell r="A202">
            <v>7077961</v>
          </cell>
          <cell r="B202">
            <v>61351</v>
          </cell>
          <cell r="C202" t="str">
            <v>Megan Rice</v>
          </cell>
          <cell r="D202" t="str">
            <v>Portsmouth</v>
          </cell>
          <cell r="E202" t="str">
            <v>England</v>
          </cell>
          <cell r="F202" t="str">
            <v>UK</v>
          </cell>
          <cell r="G202">
            <v>61</v>
          </cell>
          <cell r="H202">
            <v>61</v>
          </cell>
          <cell r="I202" t="str">
            <v>Male</v>
          </cell>
          <cell r="J202" t="str">
            <v>Male</v>
          </cell>
          <cell r="K202" t="str">
            <v>Medium</v>
          </cell>
          <cell r="L202" t="str">
            <v>Regular</v>
          </cell>
          <cell r="M202">
            <v>45094</v>
          </cell>
          <cell r="N202">
            <v>1</v>
          </cell>
          <cell r="O202">
            <v>1</v>
          </cell>
          <cell r="P202">
            <v>95.047991269999997</v>
          </cell>
          <cell r="Q202">
            <v>95.047991269999997</v>
          </cell>
          <cell r="R202" t="str">
            <v>Home Decor</v>
          </cell>
          <cell r="S202" t="str">
            <v>Home Decor</v>
          </cell>
          <cell r="T202" t="str">
            <v>Decorations</v>
          </cell>
          <cell r="U202" t="str">
            <v>Home Decor</v>
          </cell>
          <cell r="V202" t="str">
            <v>Excellent</v>
          </cell>
          <cell r="W202" t="str">
            <v>Excellent</v>
          </cell>
          <cell r="X202" t="str">
            <v>Standard</v>
          </cell>
          <cell r="Y202">
            <v>4</v>
          </cell>
          <cell r="Z202">
            <v>4</v>
          </cell>
        </row>
        <row r="203">
          <cell r="A203">
            <v>3830823</v>
          </cell>
          <cell r="B203">
            <v>76742</v>
          </cell>
          <cell r="C203" t="str">
            <v>Matthew Holland</v>
          </cell>
          <cell r="D203" t="str">
            <v>Portsmouth</v>
          </cell>
          <cell r="E203" t="str">
            <v>England</v>
          </cell>
          <cell r="F203" t="str">
            <v>UK</v>
          </cell>
          <cell r="G203">
            <v>57</v>
          </cell>
          <cell r="H203">
            <v>57</v>
          </cell>
          <cell r="I203" t="str">
            <v>Female</v>
          </cell>
          <cell r="J203" t="str">
            <v>Female</v>
          </cell>
          <cell r="K203" t="str">
            <v>Medium</v>
          </cell>
          <cell r="L203" t="str">
            <v>Regular</v>
          </cell>
          <cell r="M203">
            <v>45351</v>
          </cell>
          <cell r="N203">
            <v>4</v>
          </cell>
          <cell r="O203">
            <v>4</v>
          </cell>
          <cell r="P203">
            <v>385.82724200000001</v>
          </cell>
          <cell r="Q203">
            <v>1543.308968</v>
          </cell>
          <cell r="R203" t="str">
            <v>Books</v>
          </cell>
          <cell r="S203" t="str">
            <v>Books</v>
          </cell>
          <cell r="T203" t="str">
            <v>Non-Fiction</v>
          </cell>
          <cell r="U203" t="str">
            <v>Books</v>
          </cell>
          <cell r="V203" t="str">
            <v>Bad</v>
          </cell>
          <cell r="W203" t="str">
            <v>Bad</v>
          </cell>
          <cell r="X203" t="str">
            <v>Same-Day</v>
          </cell>
          <cell r="Y203">
            <v>1</v>
          </cell>
          <cell r="Z203">
            <v>1</v>
          </cell>
        </row>
        <row r="204">
          <cell r="A204">
            <v>3111772</v>
          </cell>
          <cell r="B204">
            <v>11288</v>
          </cell>
          <cell r="C204" t="str">
            <v>Olivia Shea</v>
          </cell>
          <cell r="D204" t="str">
            <v>Portsmouth</v>
          </cell>
          <cell r="E204" t="str">
            <v>England</v>
          </cell>
          <cell r="F204" t="str">
            <v>UK</v>
          </cell>
          <cell r="G204">
            <v>65</v>
          </cell>
          <cell r="H204">
            <v>65</v>
          </cell>
          <cell r="I204" t="str">
            <v>Female</v>
          </cell>
          <cell r="J204" t="str">
            <v>Female</v>
          </cell>
          <cell r="K204" t="str">
            <v>Medium</v>
          </cell>
          <cell r="L204" t="str">
            <v>Regular</v>
          </cell>
          <cell r="M204">
            <v>44999</v>
          </cell>
          <cell r="N204">
            <v>1</v>
          </cell>
          <cell r="O204">
            <v>1</v>
          </cell>
          <cell r="P204">
            <v>117.0364627</v>
          </cell>
          <cell r="Q204">
            <v>117.0364627</v>
          </cell>
          <cell r="R204" t="str">
            <v>Grocery</v>
          </cell>
          <cell r="S204" t="str">
            <v>Grocery</v>
          </cell>
          <cell r="T204" t="str">
            <v>Soft Drink</v>
          </cell>
          <cell r="U204" t="str">
            <v>Grocery</v>
          </cell>
          <cell r="V204" t="str">
            <v>Good</v>
          </cell>
          <cell r="W204" t="str">
            <v>Good</v>
          </cell>
          <cell r="X204" t="str">
            <v>Standard</v>
          </cell>
          <cell r="Y204">
            <v>3</v>
          </cell>
          <cell r="Z204">
            <v>3</v>
          </cell>
        </row>
        <row r="205">
          <cell r="A205">
            <v>4177207</v>
          </cell>
          <cell r="B205">
            <v>34843</v>
          </cell>
          <cell r="C205" t="str">
            <v>John Payne</v>
          </cell>
          <cell r="D205" t="str">
            <v>Portsmouth</v>
          </cell>
          <cell r="E205" t="str">
            <v>England</v>
          </cell>
          <cell r="F205" t="str">
            <v>UK</v>
          </cell>
          <cell r="G205">
            <v>32</v>
          </cell>
          <cell r="H205">
            <v>32</v>
          </cell>
          <cell r="I205" t="str">
            <v>Male</v>
          </cell>
          <cell r="J205" t="str">
            <v>Male</v>
          </cell>
          <cell r="K205" t="str">
            <v>Low</v>
          </cell>
          <cell r="L205" t="str">
            <v>Regular</v>
          </cell>
          <cell r="M205">
            <v>45117</v>
          </cell>
          <cell r="N205">
            <v>4</v>
          </cell>
          <cell r="O205">
            <v>4</v>
          </cell>
          <cell r="P205">
            <v>343.7173143</v>
          </cell>
          <cell r="Q205">
            <v>1374.8692570000001</v>
          </cell>
          <cell r="R205" t="str">
            <v>Electronics</v>
          </cell>
          <cell r="S205" t="str">
            <v>Electronics</v>
          </cell>
          <cell r="T205" t="str">
            <v>Smartphone</v>
          </cell>
          <cell r="U205" t="str">
            <v>Electronics</v>
          </cell>
          <cell r="V205" t="str">
            <v>Excellent</v>
          </cell>
          <cell r="W205" t="str">
            <v>Excellent</v>
          </cell>
          <cell r="X205" t="str">
            <v>Express</v>
          </cell>
          <cell r="Y205">
            <v>4</v>
          </cell>
          <cell r="Z205">
            <v>4</v>
          </cell>
        </row>
        <row r="206">
          <cell r="A206">
            <v>7916796</v>
          </cell>
          <cell r="B206">
            <v>38118</v>
          </cell>
          <cell r="C206" t="str">
            <v>Thomas Stein</v>
          </cell>
          <cell r="D206" t="str">
            <v>Portsmouth</v>
          </cell>
          <cell r="E206" t="str">
            <v>England</v>
          </cell>
          <cell r="F206" t="str">
            <v>UK</v>
          </cell>
          <cell r="G206">
            <v>51</v>
          </cell>
          <cell r="H206">
            <v>51</v>
          </cell>
          <cell r="I206" t="str">
            <v>Male</v>
          </cell>
          <cell r="J206" t="str">
            <v>Male</v>
          </cell>
          <cell r="K206" t="str">
            <v>Medium</v>
          </cell>
          <cell r="L206" t="str">
            <v>Regular</v>
          </cell>
          <cell r="M206">
            <v>45092</v>
          </cell>
          <cell r="N206">
            <v>9</v>
          </cell>
          <cell r="O206">
            <v>9</v>
          </cell>
          <cell r="P206">
            <v>418.47161390000002</v>
          </cell>
          <cell r="Q206">
            <v>3766.2445250000001</v>
          </cell>
          <cell r="R206" t="str">
            <v>Electronics</v>
          </cell>
          <cell r="S206" t="str">
            <v>Electronics</v>
          </cell>
          <cell r="T206" t="str">
            <v>Tablet</v>
          </cell>
          <cell r="U206" t="str">
            <v>Electronics</v>
          </cell>
          <cell r="V206" t="str">
            <v>Bad</v>
          </cell>
          <cell r="W206" t="str">
            <v>Bad</v>
          </cell>
          <cell r="X206" t="str">
            <v>Same-Day</v>
          </cell>
          <cell r="Y206">
            <v>1</v>
          </cell>
          <cell r="Z206">
            <v>1</v>
          </cell>
        </row>
        <row r="207">
          <cell r="A207">
            <v>9343361</v>
          </cell>
          <cell r="B207">
            <v>74050</v>
          </cell>
          <cell r="C207" t="str">
            <v>Ryan Brown</v>
          </cell>
          <cell r="D207" t="str">
            <v>Portsmouth</v>
          </cell>
          <cell r="E207" t="str">
            <v>England</v>
          </cell>
          <cell r="F207" t="str">
            <v>UK</v>
          </cell>
          <cell r="G207">
            <v>52</v>
          </cell>
          <cell r="H207">
            <v>52</v>
          </cell>
          <cell r="I207" t="str">
            <v>Male</v>
          </cell>
          <cell r="J207" t="str">
            <v>Male</v>
          </cell>
          <cell r="K207" t="str">
            <v>Low</v>
          </cell>
          <cell r="L207" t="str">
            <v>Regular</v>
          </cell>
          <cell r="M207">
            <v>45184</v>
          </cell>
          <cell r="N207">
            <v>4</v>
          </cell>
          <cell r="O207">
            <v>4</v>
          </cell>
          <cell r="P207">
            <v>202.8015925</v>
          </cell>
          <cell r="Q207">
            <v>811.20636979999995</v>
          </cell>
          <cell r="R207" t="str">
            <v>Home Decor</v>
          </cell>
          <cell r="S207" t="str">
            <v>Home Decor</v>
          </cell>
          <cell r="T207" t="str">
            <v>Furniture</v>
          </cell>
          <cell r="U207" t="str">
            <v>Home Decor</v>
          </cell>
          <cell r="V207" t="str">
            <v>Bad</v>
          </cell>
          <cell r="W207" t="str">
            <v>Bad</v>
          </cell>
          <cell r="X207" t="str">
            <v>Express</v>
          </cell>
          <cell r="Y207">
            <v>1</v>
          </cell>
          <cell r="Z207">
            <v>1</v>
          </cell>
        </row>
        <row r="208">
          <cell r="A208">
            <v>8893144</v>
          </cell>
          <cell r="B208">
            <v>68547</v>
          </cell>
          <cell r="C208" t="str">
            <v>Shannon Cooper</v>
          </cell>
          <cell r="D208" t="str">
            <v>Portsmouth</v>
          </cell>
          <cell r="E208" t="str">
            <v>England</v>
          </cell>
          <cell r="F208" t="str">
            <v>UK</v>
          </cell>
          <cell r="G208">
            <v>36</v>
          </cell>
          <cell r="H208">
            <v>36</v>
          </cell>
          <cell r="I208" t="str">
            <v>Male</v>
          </cell>
          <cell r="J208" t="str">
            <v>Male</v>
          </cell>
          <cell r="K208" t="str">
            <v>Low</v>
          </cell>
          <cell r="L208" t="str">
            <v>Regular</v>
          </cell>
          <cell r="M208">
            <v>45166</v>
          </cell>
          <cell r="N208">
            <v>7</v>
          </cell>
          <cell r="O208">
            <v>7</v>
          </cell>
          <cell r="P208">
            <v>390.1507446</v>
          </cell>
          <cell r="Q208">
            <v>2731.0552120000002</v>
          </cell>
          <cell r="R208" t="str">
            <v>Home Decor</v>
          </cell>
          <cell r="S208" t="str">
            <v>Home Decor</v>
          </cell>
          <cell r="T208" t="str">
            <v>Tools</v>
          </cell>
          <cell r="U208" t="str">
            <v>Home Decor</v>
          </cell>
          <cell r="V208" t="str">
            <v>Good</v>
          </cell>
          <cell r="W208" t="str">
            <v>Good</v>
          </cell>
          <cell r="X208" t="str">
            <v>Standard</v>
          </cell>
          <cell r="Y208">
            <v>3</v>
          </cell>
          <cell r="Z208">
            <v>3</v>
          </cell>
        </row>
        <row r="209">
          <cell r="A209">
            <v>7861294</v>
          </cell>
          <cell r="B209">
            <v>46019</v>
          </cell>
          <cell r="C209" t="str">
            <v>Thomas Mcbride</v>
          </cell>
          <cell r="D209" t="str">
            <v>Portsmouth</v>
          </cell>
          <cell r="E209" t="str">
            <v>England</v>
          </cell>
          <cell r="F209" t="str">
            <v>UK</v>
          </cell>
          <cell r="G209">
            <v>23</v>
          </cell>
          <cell r="H209">
            <v>23</v>
          </cell>
          <cell r="I209" t="str">
            <v>Male</v>
          </cell>
          <cell r="J209" t="str">
            <v>Male</v>
          </cell>
          <cell r="K209" t="str">
            <v>Low</v>
          </cell>
          <cell r="L209" t="str">
            <v>Regular</v>
          </cell>
          <cell r="M209">
            <v>45139</v>
          </cell>
          <cell r="N209">
            <v>4</v>
          </cell>
          <cell r="O209">
            <v>4</v>
          </cell>
          <cell r="P209">
            <v>284.66915519999998</v>
          </cell>
          <cell r="Q209">
            <v>1138.6766210000001</v>
          </cell>
          <cell r="R209" t="str">
            <v>Electronics</v>
          </cell>
          <cell r="S209" t="str">
            <v>Electronics</v>
          </cell>
          <cell r="T209" t="str">
            <v>Smartphone</v>
          </cell>
          <cell r="U209" t="str">
            <v>Electronics</v>
          </cell>
          <cell r="V209" t="str">
            <v>Bad</v>
          </cell>
          <cell r="W209" t="str">
            <v>Bad</v>
          </cell>
          <cell r="X209" t="str">
            <v>Express</v>
          </cell>
          <cell r="Y209">
            <v>1</v>
          </cell>
          <cell r="Z209">
            <v>1</v>
          </cell>
        </row>
        <row r="210">
          <cell r="A210">
            <v>4281916</v>
          </cell>
          <cell r="B210">
            <v>24134</v>
          </cell>
          <cell r="C210" t="str">
            <v>Mitchell Mueller</v>
          </cell>
          <cell r="D210" t="str">
            <v>Portsmouth</v>
          </cell>
          <cell r="E210" t="str">
            <v>England</v>
          </cell>
          <cell r="F210" t="str">
            <v>UK</v>
          </cell>
          <cell r="G210">
            <v>29</v>
          </cell>
          <cell r="H210">
            <v>29</v>
          </cell>
          <cell r="I210" t="str">
            <v>Male</v>
          </cell>
          <cell r="J210" t="str">
            <v>Male</v>
          </cell>
          <cell r="K210" t="str">
            <v>Low</v>
          </cell>
          <cell r="L210" t="str">
            <v>Regular</v>
          </cell>
          <cell r="M210">
            <v>45053</v>
          </cell>
          <cell r="N210">
            <v>9</v>
          </cell>
          <cell r="O210">
            <v>9</v>
          </cell>
          <cell r="P210">
            <v>87.041128069999999</v>
          </cell>
          <cell r="Q210">
            <v>783.37015259999998</v>
          </cell>
          <cell r="R210" t="str">
            <v>Home Decor</v>
          </cell>
          <cell r="S210" t="str">
            <v>Home Decor</v>
          </cell>
          <cell r="T210" t="str">
            <v>Kitchen</v>
          </cell>
          <cell r="U210" t="str">
            <v>Home Decor</v>
          </cell>
          <cell r="V210" t="str">
            <v>Excellent</v>
          </cell>
          <cell r="W210" t="str">
            <v>Excellent</v>
          </cell>
          <cell r="X210" t="str">
            <v>Standard</v>
          </cell>
          <cell r="Y210">
            <v>4</v>
          </cell>
          <cell r="Z210">
            <v>4</v>
          </cell>
        </row>
        <row r="211">
          <cell r="A211">
            <v>5480322</v>
          </cell>
          <cell r="B211">
            <v>72352</v>
          </cell>
          <cell r="C211" t="str">
            <v>Connie Hill</v>
          </cell>
          <cell r="D211" t="str">
            <v>Portsmouth</v>
          </cell>
          <cell r="E211" t="str">
            <v>England</v>
          </cell>
          <cell r="F211" t="str">
            <v>UK</v>
          </cell>
          <cell r="G211">
            <v>51</v>
          </cell>
          <cell r="H211">
            <v>51</v>
          </cell>
          <cell r="I211" t="str">
            <v>Female</v>
          </cell>
          <cell r="J211" t="str">
            <v>Female</v>
          </cell>
          <cell r="K211" t="str">
            <v>Medium</v>
          </cell>
          <cell r="L211" t="str">
            <v>Regular</v>
          </cell>
          <cell r="M211">
            <v>45283</v>
          </cell>
          <cell r="N211">
            <v>3</v>
          </cell>
          <cell r="O211">
            <v>3</v>
          </cell>
          <cell r="P211">
            <v>492.45287569999999</v>
          </cell>
          <cell r="Q211">
            <v>1477.3586270000001</v>
          </cell>
          <cell r="R211" t="str">
            <v>Grocery</v>
          </cell>
          <cell r="S211" t="str">
            <v>Grocery</v>
          </cell>
          <cell r="T211" t="str">
            <v>Water</v>
          </cell>
          <cell r="U211" t="str">
            <v>Grocery</v>
          </cell>
          <cell r="V211" t="str">
            <v>Excellent</v>
          </cell>
          <cell r="W211" t="str">
            <v>Excellent</v>
          </cell>
          <cell r="X211" t="str">
            <v>Same-Day</v>
          </cell>
          <cell r="Y211">
            <v>5</v>
          </cell>
          <cell r="Z211">
            <v>5</v>
          </cell>
        </row>
        <row r="212">
          <cell r="A212">
            <v>2022125</v>
          </cell>
          <cell r="B212">
            <v>32937</v>
          </cell>
          <cell r="C212" t="str">
            <v>Adrienne Wright</v>
          </cell>
          <cell r="D212" t="str">
            <v>Portsmouth</v>
          </cell>
          <cell r="E212" t="str">
            <v>England</v>
          </cell>
          <cell r="F212" t="str">
            <v>UK</v>
          </cell>
          <cell r="G212">
            <v>37</v>
          </cell>
          <cell r="H212">
            <v>37</v>
          </cell>
          <cell r="I212" t="str">
            <v>Male</v>
          </cell>
          <cell r="J212" t="str">
            <v>Male</v>
          </cell>
          <cell r="K212" t="str">
            <v>Medium</v>
          </cell>
          <cell r="L212" t="str">
            <v>Regular</v>
          </cell>
          <cell r="M212">
            <v>45004</v>
          </cell>
          <cell r="N212">
            <v>5</v>
          </cell>
          <cell r="O212">
            <v>5</v>
          </cell>
          <cell r="P212">
            <v>213.59671729999999</v>
          </cell>
          <cell r="Q212">
            <v>1067.9835869999999</v>
          </cell>
          <cell r="R212" t="str">
            <v>Home Decor</v>
          </cell>
          <cell r="S212" t="str">
            <v>Home Decor</v>
          </cell>
          <cell r="T212" t="str">
            <v>Decorations</v>
          </cell>
          <cell r="U212" t="str">
            <v>Home Decor</v>
          </cell>
          <cell r="V212" t="str">
            <v>Good</v>
          </cell>
          <cell r="W212" t="str">
            <v>Good</v>
          </cell>
          <cell r="X212" t="str">
            <v>Same-Day</v>
          </cell>
          <cell r="Y212">
            <v>4</v>
          </cell>
          <cell r="Z212">
            <v>4</v>
          </cell>
        </row>
        <row r="213">
          <cell r="A213">
            <v>7629030</v>
          </cell>
          <cell r="B213">
            <v>67942</v>
          </cell>
          <cell r="C213" t="str">
            <v>Pamela Smith</v>
          </cell>
          <cell r="D213" t="str">
            <v>Portsmouth</v>
          </cell>
          <cell r="E213" t="str">
            <v>England</v>
          </cell>
          <cell r="F213" t="str">
            <v>UK</v>
          </cell>
          <cell r="G213">
            <v>36</v>
          </cell>
          <cell r="H213">
            <v>36</v>
          </cell>
          <cell r="I213" t="str">
            <v>Male</v>
          </cell>
          <cell r="J213" t="str">
            <v>Male</v>
          </cell>
          <cell r="K213" t="str">
            <v>Low</v>
          </cell>
          <cell r="L213" t="str">
            <v>Regular</v>
          </cell>
          <cell r="M213">
            <v>45080</v>
          </cell>
          <cell r="N213">
            <v>2</v>
          </cell>
          <cell r="O213">
            <v>2</v>
          </cell>
          <cell r="P213">
            <v>56.391011589999998</v>
          </cell>
          <cell r="Q213">
            <v>112.7820232</v>
          </cell>
          <cell r="R213" t="str">
            <v>Clothing</v>
          </cell>
          <cell r="S213" t="str">
            <v>Clothing</v>
          </cell>
          <cell r="T213" t="str">
            <v>Shirt</v>
          </cell>
          <cell r="U213" t="str">
            <v>Clothing</v>
          </cell>
          <cell r="V213" t="str">
            <v>Bad</v>
          </cell>
          <cell r="W213" t="str">
            <v>Bad</v>
          </cell>
          <cell r="X213" t="str">
            <v>Same-Day</v>
          </cell>
          <cell r="Y213">
            <v>1</v>
          </cell>
          <cell r="Z213">
            <v>1</v>
          </cell>
        </row>
        <row r="214">
          <cell r="A214">
            <v>8697012</v>
          </cell>
          <cell r="B214">
            <v>16597</v>
          </cell>
          <cell r="C214" t="str">
            <v>Leslie Decker</v>
          </cell>
          <cell r="D214" t="str">
            <v>Portsmouth</v>
          </cell>
          <cell r="E214" t="str">
            <v>England</v>
          </cell>
          <cell r="F214" t="str">
            <v>UK</v>
          </cell>
          <cell r="G214">
            <v>70</v>
          </cell>
          <cell r="H214">
            <v>70</v>
          </cell>
          <cell r="I214" t="str">
            <v>Male</v>
          </cell>
          <cell r="J214" t="str">
            <v>Male</v>
          </cell>
          <cell r="K214" t="str">
            <v>Medium</v>
          </cell>
          <cell r="L214" t="str">
            <v>Regular</v>
          </cell>
          <cell r="M214">
            <v>45263</v>
          </cell>
          <cell r="N214">
            <v>10</v>
          </cell>
          <cell r="O214">
            <v>10</v>
          </cell>
          <cell r="P214">
            <v>385.98386649999998</v>
          </cell>
          <cell r="Q214">
            <v>3859.8386650000002</v>
          </cell>
          <cell r="R214" t="str">
            <v>Clothing</v>
          </cell>
          <cell r="S214" t="str">
            <v>Clothing</v>
          </cell>
          <cell r="T214" t="str">
            <v>Dress</v>
          </cell>
          <cell r="U214" t="str">
            <v>Clothing</v>
          </cell>
          <cell r="V214" t="str">
            <v>Excellent</v>
          </cell>
          <cell r="W214" t="str">
            <v>Excellent</v>
          </cell>
          <cell r="X214" t="str">
            <v>Same-Day</v>
          </cell>
          <cell r="Y214">
            <v>4</v>
          </cell>
          <cell r="Z214">
            <v>4</v>
          </cell>
        </row>
        <row r="215">
          <cell r="A215">
            <v>4153822</v>
          </cell>
          <cell r="B215">
            <v>58115</v>
          </cell>
          <cell r="C215" t="str">
            <v>Julie Moore</v>
          </cell>
          <cell r="D215" t="str">
            <v>Portsmouth</v>
          </cell>
          <cell r="E215" t="str">
            <v>England</v>
          </cell>
          <cell r="F215" t="str">
            <v>UK</v>
          </cell>
          <cell r="G215">
            <v>68</v>
          </cell>
          <cell r="H215">
            <v>68</v>
          </cell>
          <cell r="I215" t="str">
            <v>Male</v>
          </cell>
          <cell r="J215" t="str">
            <v>Male</v>
          </cell>
          <cell r="K215" t="str">
            <v>Medium</v>
          </cell>
          <cell r="L215" t="str">
            <v>Regular</v>
          </cell>
          <cell r="M215">
            <v>45189</v>
          </cell>
          <cell r="N215">
            <v>6</v>
          </cell>
          <cell r="O215">
            <v>6</v>
          </cell>
          <cell r="P215">
            <v>491.72574090000001</v>
          </cell>
          <cell r="Q215">
            <v>2950.3544459999998</v>
          </cell>
          <cell r="R215" t="str">
            <v>Electronics</v>
          </cell>
          <cell r="S215" t="str">
            <v>Electronics</v>
          </cell>
          <cell r="T215" t="str">
            <v>Headphones</v>
          </cell>
          <cell r="U215" t="str">
            <v>Electronics</v>
          </cell>
          <cell r="V215" t="str">
            <v>Good</v>
          </cell>
          <cell r="W215" t="str">
            <v>Good</v>
          </cell>
          <cell r="X215" t="str">
            <v>Same-Day</v>
          </cell>
          <cell r="Y215">
            <v>3</v>
          </cell>
          <cell r="Z215">
            <v>3</v>
          </cell>
        </row>
        <row r="216">
          <cell r="A216">
            <v>3815037</v>
          </cell>
          <cell r="B216">
            <v>58363</v>
          </cell>
          <cell r="C216" t="str">
            <v>William Mcclain</v>
          </cell>
          <cell r="D216" t="str">
            <v>Portsmouth</v>
          </cell>
          <cell r="E216" t="str">
            <v>England</v>
          </cell>
          <cell r="F216" t="str">
            <v>UK</v>
          </cell>
          <cell r="G216">
            <v>35</v>
          </cell>
          <cell r="H216">
            <v>35</v>
          </cell>
          <cell r="I216" t="str">
            <v>Male</v>
          </cell>
          <cell r="J216" t="str">
            <v>Male</v>
          </cell>
          <cell r="K216" t="str">
            <v>Medium</v>
          </cell>
          <cell r="L216" t="str">
            <v>Regular</v>
          </cell>
          <cell r="M216">
            <v>45072</v>
          </cell>
          <cell r="N216">
            <v>8</v>
          </cell>
          <cell r="O216">
            <v>8</v>
          </cell>
          <cell r="P216">
            <v>390.7484786</v>
          </cell>
          <cell r="Q216">
            <v>3125.9878290000001</v>
          </cell>
          <cell r="R216" t="str">
            <v>Electronics</v>
          </cell>
          <cell r="S216" t="str">
            <v>Electronics</v>
          </cell>
          <cell r="T216" t="str">
            <v>Smartphone</v>
          </cell>
          <cell r="U216" t="str">
            <v>Electronics</v>
          </cell>
          <cell r="V216" t="str">
            <v>Excellent</v>
          </cell>
          <cell r="W216" t="str">
            <v>Excellent</v>
          </cell>
          <cell r="X216" t="str">
            <v>Standard</v>
          </cell>
          <cell r="Y216">
            <v>5</v>
          </cell>
          <cell r="Z216">
            <v>5</v>
          </cell>
        </row>
        <row r="217">
          <cell r="A217">
            <v>1377119</v>
          </cell>
          <cell r="B217">
            <v>71025</v>
          </cell>
          <cell r="C217" t="str">
            <v>Tim Graham</v>
          </cell>
          <cell r="D217" t="str">
            <v>Portsmouth</v>
          </cell>
          <cell r="E217" t="str">
            <v>England</v>
          </cell>
          <cell r="F217" t="str">
            <v>UK</v>
          </cell>
          <cell r="G217">
            <v>44</v>
          </cell>
          <cell r="H217">
            <v>44</v>
          </cell>
          <cell r="I217" t="str">
            <v>Male</v>
          </cell>
          <cell r="J217" t="str">
            <v>Male</v>
          </cell>
          <cell r="K217" t="str">
            <v>Medium</v>
          </cell>
          <cell r="L217" t="str">
            <v>Regular</v>
          </cell>
          <cell r="M217">
            <v>45320</v>
          </cell>
          <cell r="N217">
            <v>1</v>
          </cell>
          <cell r="O217">
            <v>1</v>
          </cell>
          <cell r="P217">
            <v>404.13374690000001</v>
          </cell>
          <cell r="Q217">
            <v>404.13374690000001</v>
          </cell>
          <cell r="R217" t="str">
            <v>Clothing</v>
          </cell>
          <cell r="S217" t="str">
            <v>Clothing</v>
          </cell>
          <cell r="T217" t="str">
            <v>Shoes</v>
          </cell>
          <cell r="U217" t="str">
            <v>Clothing</v>
          </cell>
          <cell r="V217" t="str">
            <v>Bad</v>
          </cell>
          <cell r="W217" t="str">
            <v>Bad</v>
          </cell>
          <cell r="X217" t="str">
            <v>Same-Day</v>
          </cell>
          <cell r="Y217">
            <v>1</v>
          </cell>
          <cell r="Z217">
            <v>1</v>
          </cell>
        </row>
        <row r="218">
          <cell r="A218">
            <v>4801034</v>
          </cell>
          <cell r="B218">
            <v>39803</v>
          </cell>
          <cell r="C218" t="str">
            <v>Joy Allen</v>
          </cell>
          <cell r="D218" t="str">
            <v>Portsmouth</v>
          </cell>
          <cell r="E218" t="str">
            <v>England</v>
          </cell>
          <cell r="F218" t="str">
            <v>UK</v>
          </cell>
          <cell r="G218">
            <v>55</v>
          </cell>
          <cell r="H218">
            <v>55</v>
          </cell>
          <cell r="I218" t="str">
            <v>Female</v>
          </cell>
          <cell r="J218" t="str">
            <v>Female</v>
          </cell>
          <cell r="K218" t="str">
            <v>Medium</v>
          </cell>
          <cell r="L218" t="str">
            <v>Regular</v>
          </cell>
          <cell r="M218">
            <v>45252</v>
          </cell>
          <cell r="N218">
            <v>2</v>
          </cell>
          <cell r="O218">
            <v>2</v>
          </cell>
          <cell r="P218">
            <v>36.295867469999997</v>
          </cell>
          <cell r="Q218">
            <v>72.591734950000003</v>
          </cell>
          <cell r="R218" t="str">
            <v>Books</v>
          </cell>
          <cell r="S218" t="str">
            <v>Books</v>
          </cell>
          <cell r="T218" t="str">
            <v>Non-Fiction</v>
          </cell>
          <cell r="U218" t="str">
            <v>Books</v>
          </cell>
          <cell r="V218" t="str">
            <v>Average</v>
          </cell>
          <cell r="W218" t="str">
            <v>Average</v>
          </cell>
          <cell r="X218" t="str">
            <v>Express</v>
          </cell>
          <cell r="Y218">
            <v>2</v>
          </cell>
          <cell r="Z218">
            <v>2</v>
          </cell>
        </row>
        <row r="219">
          <cell r="A219">
            <v>9213173</v>
          </cell>
          <cell r="B219">
            <v>27495</v>
          </cell>
          <cell r="C219" t="str">
            <v>Devin Rodriguez</v>
          </cell>
          <cell r="D219" t="str">
            <v>Portsmouth</v>
          </cell>
          <cell r="E219" t="str">
            <v>England</v>
          </cell>
          <cell r="F219" t="str">
            <v>UK</v>
          </cell>
          <cell r="G219">
            <v>59</v>
          </cell>
          <cell r="H219">
            <v>59</v>
          </cell>
          <cell r="I219" t="str">
            <v>Male</v>
          </cell>
          <cell r="J219" t="str">
            <v>Male</v>
          </cell>
          <cell r="K219" t="str">
            <v>Medium</v>
          </cell>
          <cell r="L219" t="str">
            <v>Regular</v>
          </cell>
          <cell r="M219">
            <v>45150</v>
          </cell>
          <cell r="N219">
            <v>6</v>
          </cell>
          <cell r="O219">
            <v>6</v>
          </cell>
          <cell r="P219">
            <v>488.99318510000001</v>
          </cell>
          <cell r="Q219">
            <v>2933.9591110000001</v>
          </cell>
          <cell r="R219" t="str">
            <v>Clothing</v>
          </cell>
          <cell r="S219" t="str">
            <v>Clothing</v>
          </cell>
          <cell r="T219" t="str">
            <v>Shirt</v>
          </cell>
          <cell r="U219" t="str">
            <v>Clothing</v>
          </cell>
          <cell r="V219" t="str">
            <v>Excellent</v>
          </cell>
          <cell r="W219" t="str">
            <v>Excellent</v>
          </cell>
          <cell r="X219" t="str">
            <v>Express</v>
          </cell>
          <cell r="Y219">
            <v>5</v>
          </cell>
          <cell r="Z219">
            <v>5</v>
          </cell>
        </row>
        <row r="220">
          <cell r="A220">
            <v>6532646</v>
          </cell>
          <cell r="B220">
            <v>22191</v>
          </cell>
          <cell r="C220" t="str">
            <v>Jose Diaz</v>
          </cell>
          <cell r="D220" t="str">
            <v>Portsmouth</v>
          </cell>
          <cell r="E220" t="str">
            <v>England</v>
          </cell>
          <cell r="F220" t="str">
            <v>UK</v>
          </cell>
          <cell r="G220">
            <v>64</v>
          </cell>
          <cell r="H220">
            <v>64</v>
          </cell>
          <cell r="I220" t="str">
            <v>Female</v>
          </cell>
          <cell r="J220" t="str">
            <v>Female</v>
          </cell>
          <cell r="K220" t="str">
            <v>Low</v>
          </cell>
          <cell r="L220" t="str">
            <v>Regular</v>
          </cell>
          <cell r="M220">
            <v>45144</v>
          </cell>
          <cell r="N220">
            <v>9</v>
          </cell>
          <cell r="O220">
            <v>9</v>
          </cell>
          <cell r="P220">
            <v>182.40976219999999</v>
          </cell>
          <cell r="Q220">
            <v>1641.68786</v>
          </cell>
          <cell r="R220" t="str">
            <v>Clothing</v>
          </cell>
          <cell r="S220" t="str">
            <v>Clothing</v>
          </cell>
          <cell r="T220" t="str">
            <v>Jacket</v>
          </cell>
          <cell r="U220" t="str">
            <v>Clothing</v>
          </cell>
          <cell r="V220" t="str">
            <v>Average</v>
          </cell>
          <cell r="W220" t="str">
            <v>Average</v>
          </cell>
          <cell r="X220" t="str">
            <v>Express</v>
          </cell>
          <cell r="Y220">
            <v>2</v>
          </cell>
          <cell r="Z220">
            <v>2</v>
          </cell>
        </row>
        <row r="221">
          <cell r="A221">
            <v>5849110</v>
          </cell>
          <cell r="B221">
            <v>43816</v>
          </cell>
          <cell r="C221" t="str">
            <v>Lacey Gray</v>
          </cell>
          <cell r="D221" t="str">
            <v>Portsmouth</v>
          </cell>
          <cell r="E221" t="str">
            <v>England</v>
          </cell>
          <cell r="F221" t="str">
            <v>UK</v>
          </cell>
          <cell r="G221">
            <v>21</v>
          </cell>
          <cell r="H221">
            <v>21</v>
          </cell>
          <cell r="I221" t="str">
            <v>Female</v>
          </cell>
          <cell r="J221" t="str">
            <v>Female</v>
          </cell>
          <cell r="K221" t="str">
            <v>Low</v>
          </cell>
          <cell r="L221" t="str">
            <v>Regular</v>
          </cell>
          <cell r="M221">
            <v>45150</v>
          </cell>
          <cell r="N221">
            <v>8</v>
          </cell>
          <cell r="O221">
            <v>8</v>
          </cell>
          <cell r="P221">
            <v>283.26600079999997</v>
          </cell>
          <cell r="Q221">
            <v>2266.1280059999999</v>
          </cell>
          <cell r="R221" t="str">
            <v>Home Decor</v>
          </cell>
          <cell r="S221" t="str">
            <v>Home Decor</v>
          </cell>
          <cell r="T221" t="str">
            <v>Furniture</v>
          </cell>
          <cell r="U221" t="str">
            <v>Home Decor</v>
          </cell>
          <cell r="V221" t="str">
            <v>Good</v>
          </cell>
          <cell r="W221" t="str">
            <v>Good</v>
          </cell>
          <cell r="X221" t="str">
            <v>Same-Day</v>
          </cell>
          <cell r="Y221">
            <v>3</v>
          </cell>
          <cell r="Z221">
            <v>3</v>
          </cell>
        </row>
        <row r="222">
          <cell r="A222">
            <v>1464706</v>
          </cell>
          <cell r="B222">
            <v>78184</v>
          </cell>
          <cell r="C222" t="str">
            <v>Joseph Willis</v>
          </cell>
          <cell r="D222" t="str">
            <v>Portsmouth</v>
          </cell>
          <cell r="E222" t="str">
            <v>England</v>
          </cell>
          <cell r="F222" t="str">
            <v>UK</v>
          </cell>
          <cell r="G222">
            <v>28</v>
          </cell>
          <cell r="H222">
            <v>28</v>
          </cell>
          <cell r="I222" t="str">
            <v>Female</v>
          </cell>
          <cell r="J222" t="str">
            <v>Female</v>
          </cell>
          <cell r="K222" t="str">
            <v>Medium</v>
          </cell>
          <cell r="L222" t="str">
            <v>Regular</v>
          </cell>
          <cell r="M222">
            <v>45143</v>
          </cell>
          <cell r="N222">
            <v>10</v>
          </cell>
          <cell r="O222">
            <v>10</v>
          </cell>
          <cell r="P222">
            <v>28.559723609999999</v>
          </cell>
          <cell r="Q222">
            <v>285.59723609999998</v>
          </cell>
          <cell r="R222" t="str">
            <v>Home Decor</v>
          </cell>
          <cell r="S222" t="str">
            <v>Home Decor</v>
          </cell>
          <cell r="T222" t="str">
            <v>Kitchen</v>
          </cell>
          <cell r="U222" t="str">
            <v>Home Decor</v>
          </cell>
          <cell r="V222" t="str">
            <v>Bad</v>
          </cell>
          <cell r="W222" t="str">
            <v>Bad</v>
          </cell>
          <cell r="X222" t="str">
            <v>Express</v>
          </cell>
          <cell r="Y222">
            <v>1</v>
          </cell>
          <cell r="Z222">
            <v>1</v>
          </cell>
        </row>
        <row r="223">
          <cell r="A223">
            <v>8676898</v>
          </cell>
          <cell r="B223">
            <v>67970</v>
          </cell>
          <cell r="C223" t="str">
            <v>Jonathan Edwards</v>
          </cell>
          <cell r="D223" t="str">
            <v>Portsmouth</v>
          </cell>
          <cell r="E223" t="str">
            <v>England</v>
          </cell>
          <cell r="F223" t="str">
            <v>UK</v>
          </cell>
          <cell r="G223">
            <v>65</v>
          </cell>
          <cell r="H223">
            <v>65</v>
          </cell>
          <cell r="I223" t="str">
            <v>Male</v>
          </cell>
          <cell r="J223" t="str">
            <v>Male</v>
          </cell>
          <cell r="K223" t="str">
            <v>High</v>
          </cell>
          <cell r="L223" t="str">
            <v>Regular</v>
          </cell>
          <cell r="M223">
            <v>45297</v>
          </cell>
          <cell r="N223">
            <v>2</v>
          </cell>
          <cell r="O223">
            <v>2</v>
          </cell>
          <cell r="P223">
            <v>312.30908720000002</v>
          </cell>
          <cell r="Q223">
            <v>624.61817450000001</v>
          </cell>
          <cell r="R223" t="str">
            <v>Clothing</v>
          </cell>
          <cell r="S223" t="str">
            <v>Clothing</v>
          </cell>
          <cell r="T223" t="str">
            <v>Dress</v>
          </cell>
          <cell r="U223" t="str">
            <v>Clothing</v>
          </cell>
          <cell r="V223" t="str">
            <v>Excellent</v>
          </cell>
          <cell r="W223" t="str">
            <v>Excellent</v>
          </cell>
          <cell r="X223" t="str">
            <v>Express</v>
          </cell>
          <cell r="Y223">
            <v>5</v>
          </cell>
          <cell r="Z223">
            <v>5</v>
          </cell>
        </row>
        <row r="224">
          <cell r="A224">
            <v>6393080</v>
          </cell>
          <cell r="B224">
            <v>28554</v>
          </cell>
          <cell r="C224" t="str">
            <v>Carla Stein</v>
          </cell>
          <cell r="D224" t="str">
            <v>Portsmouth</v>
          </cell>
          <cell r="E224" t="str">
            <v>England</v>
          </cell>
          <cell r="F224" t="str">
            <v>UK</v>
          </cell>
          <cell r="G224">
            <v>43</v>
          </cell>
          <cell r="H224">
            <v>43</v>
          </cell>
          <cell r="I224" t="str">
            <v>Female</v>
          </cell>
          <cell r="J224" t="str">
            <v>Female</v>
          </cell>
          <cell r="K224" t="str">
            <v>Medium</v>
          </cell>
          <cell r="L224" t="str">
            <v>Regular</v>
          </cell>
          <cell r="M224">
            <v>45153</v>
          </cell>
          <cell r="N224">
            <v>9</v>
          </cell>
          <cell r="O224">
            <v>9</v>
          </cell>
          <cell r="P224">
            <v>360.6581908</v>
          </cell>
          <cell r="Q224">
            <v>3245.9237170000001</v>
          </cell>
          <cell r="R224" t="str">
            <v>Home Decor</v>
          </cell>
          <cell r="S224" t="str">
            <v>Home Decor</v>
          </cell>
          <cell r="T224" t="str">
            <v>Furniture</v>
          </cell>
          <cell r="U224" t="str">
            <v>Home Decor</v>
          </cell>
          <cell r="V224" t="str">
            <v>Bad</v>
          </cell>
          <cell r="W224" t="str">
            <v>Bad</v>
          </cell>
          <cell r="X224" t="str">
            <v>Express</v>
          </cell>
          <cell r="Y224">
            <v>1</v>
          </cell>
          <cell r="Z224">
            <v>1</v>
          </cell>
        </row>
        <row r="225">
          <cell r="A225">
            <v>2053971</v>
          </cell>
          <cell r="B225">
            <v>84475</v>
          </cell>
          <cell r="C225" t="str">
            <v>Carl Jenkins</v>
          </cell>
          <cell r="D225" t="str">
            <v>Portsmouth</v>
          </cell>
          <cell r="E225" t="str">
            <v>England</v>
          </cell>
          <cell r="F225" t="str">
            <v>UK</v>
          </cell>
          <cell r="G225">
            <v>59</v>
          </cell>
          <cell r="H225">
            <v>59</v>
          </cell>
          <cell r="I225" t="str">
            <v>Female</v>
          </cell>
          <cell r="J225" t="str">
            <v>Female</v>
          </cell>
          <cell r="K225" t="str">
            <v>Medium</v>
          </cell>
          <cell r="L225" t="str">
            <v>Regular</v>
          </cell>
          <cell r="M225">
            <v>45278</v>
          </cell>
          <cell r="N225">
            <v>10</v>
          </cell>
          <cell r="O225">
            <v>10</v>
          </cell>
          <cell r="P225">
            <v>13.497794649999999</v>
          </cell>
          <cell r="Q225">
            <v>134.9779465</v>
          </cell>
          <cell r="R225" t="str">
            <v>Grocery</v>
          </cell>
          <cell r="S225" t="str">
            <v>Grocery</v>
          </cell>
          <cell r="T225" t="str">
            <v>Chocolate</v>
          </cell>
          <cell r="U225" t="str">
            <v>Grocery</v>
          </cell>
          <cell r="V225" t="str">
            <v>Bad</v>
          </cell>
          <cell r="W225" t="str">
            <v>Bad</v>
          </cell>
          <cell r="X225" t="str">
            <v>Standard</v>
          </cell>
          <cell r="Y225">
            <v>1</v>
          </cell>
          <cell r="Z225">
            <v>1</v>
          </cell>
        </row>
        <row r="226">
          <cell r="A226">
            <v>9947033</v>
          </cell>
          <cell r="B226">
            <v>80529</v>
          </cell>
          <cell r="C226" t="str">
            <v>Brittany Leon</v>
          </cell>
          <cell r="D226" t="str">
            <v>Portsmouth</v>
          </cell>
          <cell r="E226" t="str">
            <v>England</v>
          </cell>
          <cell r="F226" t="str">
            <v>UK</v>
          </cell>
          <cell r="G226">
            <v>38</v>
          </cell>
          <cell r="H226">
            <v>38</v>
          </cell>
          <cell r="I226" t="str">
            <v>Female</v>
          </cell>
          <cell r="J226" t="str">
            <v>Female</v>
          </cell>
          <cell r="K226" t="str">
            <v>Medium</v>
          </cell>
          <cell r="L226" t="str">
            <v>Regular</v>
          </cell>
          <cell r="M226">
            <v>45050</v>
          </cell>
          <cell r="N226">
            <v>9</v>
          </cell>
          <cell r="O226">
            <v>9</v>
          </cell>
          <cell r="P226">
            <v>121.9781801</v>
          </cell>
          <cell r="Q226">
            <v>1097.803621</v>
          </cell>
          <cell r="R226" t="str">
            <v>Clothing</v>
          </cell>
          <cell r="S226" t="str">
            <v>Clothing</v>
          </cell>
          <cell r="T226" t="str">
            <v>Dress</v>
          </cell>
          <cell r="U226" t="str">
            <v>Clothing</v>
          </cell>
          <cell r="V226" t="str">
            <v>Excellent</v>
          </cell>
          <cell r="W226" t="str">
            <v>Excellent</v>
          </cell>
          <cell r="X226" t="str">
            <v>Express</v>
          </cell>
          <cell r="Y226">
            <v>4</v>
          </cell>
          <cell r="Z226">
            <v>4</v>
          </cell>
        </row>
        <row r="227">
          <cell r="A227">
            <v>4419118</v>
          </cell>
          <cell r="B227">
            <v>89086</v>
          </cell>
          <cell r="C227" t="str">
            <v>Ronald Kim</v>
          </cell>
          <cell r="D227" t="str">
            <v>Portsmouth</v>
          </cell>
          <cell r="E227" t="str">
            <v>England</v>
          </cell>
          <cell r="F227" t="str">
            <v>UK</v>
          </cell>
          <cell r="G227">
            <v>32</v>
          </cell>
          <cell r="H227">
            <v>32</v>
          </cell>
          <cell r="I227" t="str">
            <v>Female</v>
          </cell>
          <cell r="J227" t="str">
            <v>Female</v>
          </cell>
          <cell r="K227" t="str">
            <v>Medium</v>
          </cell>
          <cell r="L227" t="str">
            <v>Regular</v>
          </cell>
          <cell r="M227">
            <v>45013</v>
          </cell>
          <cell r="N227">
            <v>9</v>
          </cell>
          <cell r="O227">
            <v>9</v>
          </cell>
          <cell r="P227">
            <v>92.612521569999998</v>
          </cell>
          <cell r="Q227">
            <v>833.51269409999998</v>
          </cell>
          <cell r="R227" t="str">
            <v>Clothing</v>
          </cell>
          <cell r="S227" t="str">
            <v>Clothing</v>
          </cell>
          <cell r="T227" t="str">
            <v>Jeans</v>
          </cell>
          <cell r="U227" t="str">
            <v>Clothing</v>
          </cell>
          <cell r="V227" t="str">
            <v>Excellent</v>
          </cell>
          <cell r="W227" t="str">
            <v>Excellent</v>
          </cell>
          <cell r="X227" t="str">
            <v>Same-Day</v>
          </cell>
          <cell r="Y227">
            <v>4</v>
          </cell>
          <cell r="Z227">
            <v>4</v>
          </cell>
        </row>
        <row r="228">
          <cell r="A228">
            <v>4962423</v>
          </cell>
          <cell r="B228">
            <v>21224</v>
          </cell>
          <cell r="C228" t="str">
            <v>Anne Larson</v>
          </cell>
          <cell r="D228" t="str">
            <v>Portsmouth</v>
          </cell>
          <cell r="E228" t="str">
            <v>England</v>
          </cell>
          <cell r="F228" t="str">
            <v>UK</v>
          </cell>
          <cell r="G228">
            <v>49</v>
          </cell>
          <cell r="H228">
            <v>49</v>
          </cell>
          <cell r="I228" t="str">
            <v>Female</v>
          </cell>
          <cell r="J228" t="str">
            <v>Female</v>
          </cell>
          <cell r="K228" t="str">
            <v>Medium</v>
          </cell>
          <cell r="L228" t="str">
            <v>Regular</v>
          </cell>
          <cell r="M228">
            <v>45007</v>
          </cell>
          <cell r="N228">
            <v>5</v>
          </cell>
          <cell r="O228">
            <v>5</v>
          </cell>
          <cell r="P228">
            <v>477.75456329999997</v>
          </cell>
          <cell r="Q228">
            <v>2388.772817</v>
          </cell>
          <cell r="R228" t="str">
            <v>Home Decor</v>
          </cell>
          <cell r="S228" t="str">
            <v>Home Decor</v>
          </cell>
          <cell r="T228" t="str">
            <v>Furniture</v>
          </cell>
          <cell r="U228" t="str">
            <v>Home Decor</v>
          </cell>
          <cell r="V228" t="str">
            <v>Average</v>
          </cell>
          <cell r="W228" t="str">
            <v>Average</v>
          </cell>
          <cell r="X228" t="str">
            <v>Standard</v>
          </cell>
          <cell r="Y228">
            <v>2</v>
          </cell>
          <cell r="Z228">
            <v>2</v>
          </cell>
        </row>
        <row r="229">
          <cell r="A229">
            <v>2885243</v>
          </cell>
          <cell r="B229">
            <v>13256</v>
          </cell>
          <cell r="C229" t="str">
            <v>Robert Lee</v>
          </cell>
          <cell r="D229" t="str">
            <v>Portsmouth</v>
          </cell>
          <cell r="E229" t="str">
            <v>England</v>
          </cell>
          <cell r="F229" t="str">
            <v>UK</v>
          </cell>
          <cell r="G229">
            <v>18</v>
          </cell>
          <cell r="H229">
            <v>18</v>
          </cell>
          <cell r="I229" t="str">
            <v>Male</v>
          </cell>
          <cell r="J229" t="str">
            <v>Male</v>
          </cell>
          <cell r="K229" t="str">
            <v>Medium</v>
          </cell>
          <cell r="L229" t="str">
            <v>Regular</v>
          </cell>
          <cell r="M229">
            <v>45109</v>
          </cell>
          <cell r="N229">
            <v>5</v>
          </cell>
          <cell r="O229">
            <v>5</v>
          </cell>
          <cell r="P229">
            <v>160.81978470000001</v>
          </cell>
          <cell r="Q229">
            <v>804.09892349999996</v>
          </cell>
          <cell r="R229" t="str">
            <v>Grocery</v>
          </cell>
          <cell r="S229" t="str">
            <v>Grocery</v>
          </cell>
          <cell r="T229" t="str">
            <v>Juice</v>
          </cell>
          <cell r="U229" t="str">
            <v>Grocery</v>
          </cell>
          <cell r="V229" t="str">
            <v>Bad</v>
          </cell>
          <cell r="W229" t="str">
            <v>Bad</v>
          </cell>
          <cell r="X229" t="str">
            <v>Standard</v>
          </cell>
          <cell r="Y229">
            <v>1</v>
          </cell>
          <cell r="Z229">
            <v>1</v>
          </cell>
        </row>
        <row r="230">
          <cell r="A230">
            <v>4207259</v>
          </cell>
          <cell r="B230">
            <v>16846</v>
          </cell>
          <cell r="C230" t="str">
            <v>Fernando Lawson</v>
          </cell>
          <cell r="D230" t="str">
            <v>Portsmouth</v>
          </cell>
          <cell r="E230" t="str">
            <v>England</v>
          </cell>
          <cell r="F230" t="str">
            <v>UK</v>
          </cell>
          <cell r="G230">
            <v>23</v>
          </cell>
          <cell r="H230">
            <v>23</v>
          </cell>
          <cell r="I230" t="str">
            <v>Male</v>
          </cell>
          <cell r="J230" t="str">
            <v>Male</v>
          </cell>
          <cell r="K230" t="str">
            <v>Medium</v>
          </cell>
          <cell r="L230" t="str">
            <v>Regular</v>
          </cell>
          <cell r="M230">
            <v>45167</v>
          </cell>
          <cell r="N230">
            <v>3</v>
          </cell>
          <cell r="O230">
            <v>3</v>
          </cell>
          <cell r="P230">
            <v>89.236389250000002</v>
          </cell>
          <cell r="Q230">
            <v>267.70916779999999</v>
          </cell>
          <cell r="R230" t="str">
            <v>Clothing</v>
          </cell>
          <cell r="S230" t="str">
            <v>Clothing</v>
          </cell>
          <cell r="T230" t="str">
            <v>T-shirt</v>
          </cell>
          <cell r="U230" t="str">
            <v>Clothing</v>
          </cell>
          <cell r="V230" t="str">
            <v>Average</v>
          </cell>
          <cell r="W230" t="str">
            <v>Average</v>
          </cell>
          <cell r="X230" t="str">
            <v>Express</v>
          </cell>
          <cell r="Y230">
            <v>2</v>
          </cell>
          <cell r="Z230">
            <v>2</v>
          </cell>
        </row>
        <row r="231">
          <cell r="A231">
            <v>8579093</v>
          </cell>
          <cell r="B231">
            <v>11135</v>
          </cell>
          <cell r="C231" t="str">
            <v>Brenda Webster</v>
          </cell>
          <cell r="D231" t="str">
            <v>Portsmouth</v>
          </cell>
          <cell r="E231" t="str">
            <v>England</v>
          </cell>
          <cell r="F231" t="str">
            <v>UK</v>
          </cell>
          <cell r="G231">
            <v>37</v>
          </cell>
          <cell r="H231">
            <v>37</v>
          </cell>
          <cell r="I231" t="str">
            <v>Male</v>
          </cell>
          <cell r="J231" t="str">
            <v>Male</v>
          </cell>
          <cell r="K231" t="str">
            <v>Low</v>
          </cell>
          <cell r="L231" t="str">
            <v>Regular</v>
          </cell>
          <cell r="M231">
            <v>45351</v>
          </cell>
          <cell r="N231">
            <v>4</v>
          </cell>
          <cell r="O231">
            <v>4</v>
          </cell>
          <cell r="P231">
            <v>95.456214110000005</v>
          </cell>
          <cell r="Q231">
            <v>381.82485639999999</v>
          </cell>
          <cell r="R231" t="str">
            <v>Electronics</v>
          </cell>
          <cell r="S231" t="str">
            <v>Electronics</v>
          </cell>
          <cell r="T231" t="str">
            <v>Television</v>
          </cell>
          <cell r="U231" t="str">
            <v>Electronics</v>
          </cell>
          <cell r="V231" t="str">
            <v>Good</v>
          </cell>
          <cell r="W231" t="str">
            <v>Good</v>
          </cell>
          <cell r="X231" t="str">
            <v>Standard</v>
          </cell>
          <cell r="Y231">
            <v>3</v>
          </cell>
          <cell r="Z231">
            <v>3</v>
          </cell>
        </row>
        <row r="232">
          <cell r="A232">
            <v>5773486</v>
          </cell>
          <cell r="B232">
            <v>57550</v>
          </cell>
          <cell r="C232" t="str">
            <v>Miss Adrienne Walker MD</v>
          </cell>
          <cell r="D232" t="str">
            <v>Portsmouth</v>
          </cell>
          <cell r="E232" t="str">
            <v>England</v>
          </cell>
          <cell r="F232" t="str">
            <v>UK</v>
          </cell>
          <cell r="G232">
            <v>32</v>
          </cell>
          <cell r="H232">
            <v>32</v>
          </cell>
          <cell r="I232" t="str">
            <v>Male</v>
          </cell>
          <cell r="J232" t="str">
            <v>Male</v>
          </cell>
          <cell r="K232" t="str">
            <v>Low</v>
          </cell>
          <cell r="L232" t="str">
            <v>Regular</v>
          </cell>
          <cell r="M232">
            <v>45290</v>
          </cell>
          <cell r="N232">
            <v>9</v>
          </cell>
          <cell r="O232">
            <v>9</v>
          </cell>
          <cell r="P232">
            <v>334.6147315</v>
          </cell>
          <cell r="Q232">
            <v>3011.5325830000002</v>
          </cell>
          <cell r="R232" t="str">
            <v>Grocery</v>
          </cell>
          <cell r="S232" t="str">
            <v>Grocery</v>
          </cell>
          <cell r="T232" t="str">
            <v>Coffee</v>
          </cell>
          <cell r="U232" t="str">
            <v>Grocery</v>
          </cell>
          <cell r="V232" t="str">
            <v>Good</v>
          </cell>
          <cell r="W232" t="str">
            <v>Good</v>
          </cell>
          <cell r="X232" t="str">
            <v>Same-Day</v>
          </cell>
          <cell r="Y232">
            <v>4</v>
          </cell>
          <cell r="Z232">
            <v>4</v>
          </cell>
        </row>
        <row r="233">
          <cell r="A233">
            <v>2896778</v>
          </cell>
          <cell r="B233">
            <v>19537</v>
          </cell>
          <cell r="C233" t="str">
            <v>David Parker</v>
          </cell>
          <cell r="D233" t="str">
            <v>Portsmouth</v>
          </cell>
          <cell r="E233" t="str">
            <v>England</v>
          </cell>
          <cell r="F233" t="str">
            <v>UK</v>
          </cell>
          <cell r="G233">
            <v>35</v>
          </cell>
          <cell r="H233">
            <v>35</v>
          </cell>
          <cell r="I233" t="str">
            <v>Female</v>
          </cell>
          <cell r="J233" t="str">
            <v>Female</v>
          </cell>
          <cell r="K233" t="str">
            <v>Low</v>
          </cell>
          <cell r="L233" t="str">
            <v>Regular</v>
          </cell>
          <cell r="M233">
            <v>45225</v>
          </cell>
          <cell r="N233">
            <v>1</v>
          </cell>
          <cell r="O233">
            <v>1</v>
          </cell>
          <cell r="P233">
            <v>426.1686042</v>
          </cell>
          <cell r="Q233">
            <v>426.1686042</v>
          </cell>
          <cell r="R233" t="str">
            <v>Grocery</v>
          </cell>
          <cell r="S233" t="str">
            <v>Grocery</v>
          </cell>
          <cell r="T233" t="str">
            <v>Soft Drink</v>
          </cell>
          <cell r="U233" t="str">
            <v>Grocery</v>
          </cell>
          <cell r="V233" t="str">
            <v>Bad</v>
          </cell>
          <cell r="W233" t="str">
            <v>Bad</v>
          </cell>
          <cell r="X233" t="str">
            <v>Same-Day</v>
          </cell>
          <cell r="Y233">
            <v>1</v>
          </cell>
          <cell r="Z233">
            <v>1</v>
          </cell>
        </row>
        <row r="234">
          <cell r="A234">
            <v>3601539</v>
          </cell>
          <cell r="B234">
            <v>93979</v>
          </cell>
          <cell r="C234" t="str">
            <v>Sarah Hess</v>
          </cell>
          <cell r="D234" t="str">
            <v>Portsmouth</v>
          </cell>
          <cell r="E234" t="str">
            <v>England</v>
          </cell>
          <cell r="F234" t="str">
            <v>UK</v>
          </cell>
          <cell r="G234"/>
          <cell r="H234">
            <v>43.717434869739478</v>
          </cell>
          <cell r="I234" t="str">
            <v>Female</v>
          </cell>
          <cell r="J234" t="str">
            <v>Female</v>
          </cell>
          <cell r="K234" t="str">
            <v>Low</v>
          </cell>
          <cell r="L234" t="str">
            <v>Regular</v>
          </cell>
          <cell r="M234">
            <v>45300</v>
          </cell>
          <cell r="N234">
            <v>10</v>
          </cell>
          <cell r="O234">
            <v>10</v>
          </cell>
          <cell r="P234">
            <v>32.115559070000003</v>
          </cell>
          <cell r="Q234">
            <v>321.1555907</v>
          </cell>
          <cell r="R234" t="str">
            <v>Grocery</v>
          </cell>
          <cell r="S234" t="str">
            <v>Grocery</v>
          </cell>
          <cell r="T234" t="str">
            <v>Water</v>
          </cell>
          <cell r="U234" t="str">
            <v>Grocery</v>
          </cell>
          <cell r="V234" t="str">
            <v>Average</v>
          </cell>
          <cell r="W234" t="str">
            <v>Average</v>
          </cell>
          <cell r="X234" t="str">
            <v>Same-Day</v>
          </cell>
          <cell r="Y234">
            <v>2</v>
          </cell>
          <cell r="Z234">
            <v>2</v>
          </cell>
        </row>
        <row r="235">
          <cell r="A235">
            <v>3112881</v>
          </cell>
          <cell r="B235">
            <v>40113</v>
          </cell>
          <cell r="C235" t="str">
            <v>Jack Davies</v>
          </cell>
          <cell r="D235" t="str">
            <v>Portsmouth</v>
          </cell>
          <cell r="E235" t="str">
            <v>England</v>
          </cell>
          <cell r="F235" t="str">
            <v>UK</v>
          </cell>
          <cell r="G235">
            <v>30</v>
          </cell>
          <cell r="H235">
            <v>30</v>
          </cell>
          <cell r="I235" t="str">
            <v>Female</v>
          </cell>
          <cell r="J235" t="str">
            <v>Female</v>
          </cell>
          <cell r="K235" t="str">
            <v>Low</v>
          </cell>
          <cell r="L235" t="str">
            <v>Regular</v>
          </cell>
          <cell r="M235">
            <v>45213</v>
          </cell>
          <cell r="N235">
            <v>1</v>
          </cell>
          <cell r="O235">
            <v>1</v>
          </cell>
          <cell r="P235">
            <v>397.11996490000001</v>
          </cell>
          <cell r="Q235">
            <v>397.11996490000001</v>
          </cell>
          <cell r="R235" t="str">
            <v>Grocery</v>
          </cell>
          <cell r="S235" t="str">
            <v>Grocery</v>
          </cell>
          <cell r="T235" t="str">
            <v>Water</v>
          </cell>
          <cell r="U235" t="str">
            <v>Grocery</v>
          </cell>
          <cell r="V235" t="str">
            <v>Average</v>
          </cell>
          <cell r="W235" t="str">
            <v>Average</v>
          </cell>
          <cell r="X235" t="str">
            <v>Same-Day</v>
          </cell>
          <cell r="Y235">
            <v>2</v>
          </cell>
          <cell r="Z235">
            <v>2</v>
          </cell>
        </row>
        <row r="236">
          <cell r="A236">
            <v>4645610</v>
          </cell>
          <cell r="B236">
            <v>49175</v>
          </cell>
          <cell r="C236" t="str">
            <v>Cynthia Fisher</v>
          </cell>
          <cell r="D236" t="str">
            <v>Portsmouth</v>
          </cell>
          <cell r="E236" t="str">
            <v>England</v>
          </cell>
          <cell r="F236" t="str">
            <v>UK</v>
          </cell>
          <cell r="G236">
            <v>45</v>
          </cell>
          <cell r="H236">
            <v>45</v>
          </cell>
          <cell r="I236" t="str">
            <v>Male</v>
          </cell>
          <cell r="J236" t="str">
            <v>Male</v>
          </cell>
          <cell r="K236" t="str">
            <v>Low</v>
          </cell>
          <cell r="L236" t="str">
            <v>Regular</v>
          </cell>
          <cell r="M236">
            <v>45324</v>
          </cell>
          <cell r="N236">
            <v>2</v>
          </cell>
          <cell r="O236">
            <v>2</v>
          </cell>
          <cell r="P236">
            <v>456.20224830000001</v>
          </cell>
          <cell r="Q236">
            <v>912.40449650000005</v>
          </cell>
          <cell r="R236" t="str">
            <v>Electronics</v>
          </cell>
          <cell r="S236" t="str">
            <v>Electronics</v>
          </cell>
          <cell r="T236" t="str">
            <v>Headphones</v>
          </cell>
          <cell r="U236" t="str">
            <v>Electronics</v>
          </cell>
          <cell r="V236" t="str">
            <v>Average</v>
          </cell>
          <cell r="W236" t="str">
            <v>Average</v>
          </cell>
          <cell r="X236" t="str">
            <v>Standard</v>
          </cell>
          <cell r="Y236">
            <v>2</v>
          </cell>
          <cell r="Z236">
            <v>2</v>
          </cell>
        </row>
        <row r="237">
          <cell r="A237">
            <v>9570629</v>
          </cell>
          <cell r="B237">
            <v>57144</v>
          </cell>
          <cell r="C237" t="str">
            <v>Melissa Jones</v>
          </cell>
          <cell r="D237" t="str">
            <v>Portsmouth</v>
          </cell>
          <cell r="E237" t="str">
            <v>England</v>
          </cell>
          <cell r="F237" t="str">
            <v>UK</v>
          </cell>
          <cell r="G237">
            <v>70</v>
          </cell>
          <cell r="H237">
            <v>70</v>
          </cell>
          <cell r="I237" t="str">
            <v>Male</v>
          </cell>
          <cell r="J237" t="str">
            <v>Male</v>
          </cell>
          <cell r="K237" t="str">
            <v>High</v>
          </cell>
          <cell r="L237" t="str">
            <v>Regular</v>
          </cell>
          <cell r="M237">
            <v>45275</v>
          </cell>
          <cell r="N237">
            <v>10</v>
          </cell>
          <cell r="O237">
            <v>10</v>
          </cell>
          <cell r="P237">
            <v>304.6860183</v>
          </cell>
          <cell r="Q237">
            <v>3046.8601829999998</v>
          </cell>
          <cell r="R237" t="str">
            <v>Clothing</v>
          </cell>
          <cell r="S237" t="str">
            <v>Clothing</v>
          </cell>
          <cell r="T237" t="str">
            <v>Shorts</v>
          </cell>
          <cell r="U237" t="str">
            <v>Clothing</v>
          </cell>
          <cell r="V237" t="str">
            <v>Good</v>
          </cell>
          <cell r="W237" t="str">
            <v>Good</v>
          </cell>
          <cell r="X237" t="str">
            <v>Standard</v>
          </cell>
          <cell r="Y237">
            <v>4</v>
          </cell>
          <cell r="Z237">
            <v>4</v>
          </cell>
        </row>
        <row r="238">
          <cell r="A238">
            <v>8919258</v>
          </cell>
          <cell r="B238">
            <v>35222</v>
          </cell>
          <cell r="C238" t="str">
            <v>Madeline Taylor</v>
          </cell>
          <cell r="D238" t="str">
            <v>Portsmouth</v>
          </cell>
          <cell r="E238" t="str">
            <v>England</v>
          </cell>
          <cell r="F238" t="str">
            <v>UK</v>
          </cell>
          <cell r="G238">
            <v>61</v>
          </cell>
          <cell r="H238">
            <v>61</v>
          </cell>
          <cell r="I238" t="str">
            <v>Female</v>
          </cell>
          <cell r="J238" t="str">
            <v>Female</v>
          </cell>
          <cell r="K238" t="str">
            <v>Medium</v>
          </cell>
          <cell r="L238" t="str">
            <v>Regular</v>
          </cell>
          <cell r="M238">
            <v>45118</v>
          </cell>
          <cell r="N238">
            <v>3</v>
          </cell>
          <cell r="O238">
            <v>3</v>
          </cell>
          <cell r="P238">
            <v>353.81714460000001</v>
          </cell>
          <cell r="Q238">
            <v>1061.4514340000001</v>
          </cell>
          <cell r="R238" t="str">
            <v>Grocery</v>
          </cell>
          <cell r="S238" t="str">
            <v>Grocery</v>
          </cell>
          <cell r="T238" t="str">
            <v>Water</v>
          </cell>
          <cell r="U238" t="str">
            <v>Grocery</v>
          </cell>
          <cell r="V238" t="str">
            <v>Good</v>
          </cell>
          <cell r="W238" t="str">
            <v>Good</v>
          </cell>
          <cell r="X238" t="str">
            <v>Express</v>
          </cell>
          <cell r="Y238">
            <v>3</v>
          </cell>
          <cell r="Z238">
            <v>3</v>
          </cell>
        </row>
        <row r="239">
          <cell r="A239">
            <v>7042837</v>
          </cell>
          <cell r="B239">
            <v>80366</v>
          </cell>
          <cell r="C239" t="str">
            <v>Steven Sullivan</v>
          </cell>
          <cell r="D239" t="str">
            <v>Portsmouth</v>
          </cell>
          <cell r="E239" t="str">
            <v>England</v>
          </cell>
          <cell r="F239" t="str">
            <v>UK</v>
          </cell>
          <cell r="G239">
            <v>44</v>
          </cell>
          <cell r="H239">
            <v>44</v>
          </cell>
          <cell r="I239" t="str">
            <v>Male</v>
          </cell>
          <cell r="J239" t="str">
            <v>Male</v>
          </cell>
          <cell r="K239" t="str">
            <v>Medium</v>
          </cell>
          <cell r="L239" t="str">
            <v>Regular</v>
          </cell>
          <cell r="M239">
            <v>45136</v>
          </cell>
          <cell r="N239">
            <v>10</v>
          </cell>
          <cell r="O239">
            <v>10</v>
          </cell>
          <cell r="P239">
            <v>86.849413499999997</v>
          </cell>
          <cell r="Q239">
            <v>868.49413500000003</v>
          </cell>
          <cell r="R239" t="str">
            <v>Home Decor</v>
          </cell>
          <cell r="S239" t="str">
            <v>Home Decor</v>
          </cell>
          <cell r="T239" t="str">
            <v>Furniture</v>
          </cell>
          <cell r="U239" t="str">
            <v>Home Decor</v>
          </cell>
          <cell r="V239" t="str">
            <v>Average</v>
          </cell>
          <cell r="W239" t="str">
            <v>Average</v>
          </cell>
          <cell r="X239" t="str">
            <v>Express</v>
          </cell>
          <cell r="Y239">
            <v>2</v>
          </cell>
          <cell r="Z239">
            <v>2</v>
          </cell>
        </row>
        <row r="240">
          <cell r="A240">
            <v>6665538</v>
          </cell>
          <cell r="B240">
            <v>49922</v>
          </cell>
          <cell r="C240" t="str">
            <v>Veronica Gregory</v>
          </cell>
          <cell r="D240" t="str">
            <v>Portsmouth</v>
          </cell>
          <cell r="E240" t="str">
            <v>England</v>
          </cell>
          <cell r="F240" t="str">
            <v>UK</v>
          </cell>
          <cell r="G240">
            <v>26</v>
          </cell>
          <cell r="H240">
            <v>26</v>
          </cell>
          <cell r="I240" t="str">
            <v>Male</v>
          </cell>
          <cell r="J240" t="str">
            <v>Male</v>
          </cell>
          <cell r="K240" t="str">
            <v>Medium</v>
          </cell>
          <cell r="L240" t="str">
            <v>Regular</v>
          </cell>
          <cell r="M240">
            <v>45034</v>
          </cell>
          <cell r="N240">
            <v>2</v>
          </cell>
          <cell r="O240">
            <v>2</v>
          </cell>
          <cell r="P240">
            <v>375.18939369999998</v>
          </cell>
          <cell r="Q240">
            <v>750.37878750000004</v>
          </cell>
          <cell r="R240" t="str">
            <v>Home Decor</v>
          </cell>
          <cell r="S240" t="str">
            <v>Home Decor</v>
          </cell>
          <cell r="T240" t="str">
            <v>Tools</v>
          </cell>
          <cell r="U240" t="str">
            <v>Home Decor</v>
          </cell>
          <cell r="V240" t="str">
            <v>Bad</v>
          </cell>
          <cell r="W240" t="str">
            <v>Bad</v>
          </cell>
          <cell r="X240" t="str">
            <v>Standard</v>
          </cell>
          <cell r="Y240">
            <v>1</v>
          </cell>
          <cell r="Z240">
            <v>1</v>
          </cell>
        </row>
        <row r="241">
          <cell r="A241">
            <v>9858337</v>
          </cell>
          <cell r="B241">
            <v>29333</v>
          </cell>
          <cell r="C241" t="str">
            <v>Justin Jackson</v>
          </cell>
          <cell r="D241" t="str">
            <v>Portsmouth</v>
          </cell>
          <cell r="E241" t="str">
            <v>England</v>
          </cell>
          <cell r="F241" t="str">
            <v>UK</v>
          </cell>
          <cell r="G241">
            <v>70</v>
          </cell>
          <cell r="H241">
            <v>70</v>
          </cell>
          <cell r="I241" t="str">
            <v>Male</v>
          </cell>
          <cell r="J241" t="str">
            <v>Male</v>
          </cell>
          <cell r="K241" t="str">
            <v>Low</v>
          </cell>
          <cell r="L241" t="str">
            <v>Regular</v>
          </cell>
          <cell r="M241">
            <v>45041</v>
          </cell>
          <cell r="N241">
            <v>1</v>
          </cell>
          <cell r="O241">
            <v>1</v>
          </cell>
          <cell r="P241">
            <v>147.15828680000001</v>
          </cell>
          <cell r="Q241">
            <v>147.15828680000001</v>
          </cell>
          <cell r="R241" t="str">
            <v>Clothing</v>
          </cell>
          <cell r="S241" t="str">
            <v>Clothing</v>
          </cell>
          <cell r="T241" t="str">
            <v>Jacket</v>
          </cell>
          <cell r="U241" t="str">
            <v>Clothing</v>
          </cell>
          <cell r="V241" t="str">
            <v>Good</v>
          </cell>
          <cell r="W241" t="str">
            <v>Good</v>
          </cell>
          <cell r="X241" t="str">
            <v>Same-Day</v>
          </cell>
          <cell r="Y241">
            <v>3</v>
          </cell>
          <cell r="Z241">
            <v>3</v>
          </cell>
        </row>
        <row r="242">
          <cell r="A242">
            <v>2781672</v>
          </cell>
          <cell r="B242">
            <v>73664</v>
          </cell>
          <cell r="C242" t="str">
            <v>Ann Douglas</v>
          </cell>
          <cell r="D242" t="str">
            <v>Portsmouth</v>
          </cell>
          <cell r="E242" t="str">
            <v>England</v>
          </cell>
          <cell r="F242" t="str">
            <v>UK</v>
          </cell>
          <cell r="G242">
            <v>46</v>
          </cell>
          <cell r="H242">
            <v>46</v>
          </cell>
          <cell r="I242" t="str">
            <v>Male</v>
          </cell>
          <cell r="J242" t="str">
            <v>Male</v>
          </cell>
          <cell r="K242" t="str">
            <v>Medium</v>
          </cell>
          <cell r="L242" t="str">
            <v>Regular</v>
          </cell>
          <cell r="M242">
            <v>45006</v>
          </cell>
          <cell r="N242">
            <v>4</v>
          </cell>
          <cell r="O242">
            <v>4</v>
          </cell>
          <cell r="P242">
            <v>229.90852530000001</v>
          </cell>
          <cell r="Q242">
            <v>919.6341013</v>
          </cell>
          <cell r="R242" t="str">
            <v>Books</v>
          </cell>
          <cell r="S242" t="str">
            <v>Books</v>
          </cell>
          <cell r="T242" t="str">
            <v>Fiction</v>
          </cell>
          <cell r="U242" t="str">
            <v>Books</v>
          </cell>
          <cell r="V242" t="str">
            <v>Average</v>
          </cell>
          <cell r="W242" t="str">
            <v>Average</v>
          </cell>
          <cell r="X242" t="str">
            <v>Same-Day</v>
          </cell>
          <cell r="Y242">
            <v>2</v>
          </cell>
          <cell r="Z242">
            <v>2</v>
          </cell>
        </row>
        <row r="243">
          <cell r="A243">
            <v>2171546</v>
          </cell>
          <cell r="B243">
            <v>42831</v>
          </cell>
          <cell r="C243" t="str">
            <v>Ian West</v>
          </cell>
          <cell r="D243" t="str">
            <v>Portsmouth</v>
          </cell>
          <cell r="E243" t="str">
            <v>England</v>
          </cell>
          <cell r="F243" t="str">
            <v>UK</v>
          </cell>
          <cell r="G243">
            <v>52</v>
          </cell>
          <cell r="H243">
            <v>52</v>
          </cell>
          <cell r="I243" t="str">
            <v>Male</v>
          </cell>
          <cell r="J243" t="str">
            <v>Male</v>
          </cell>
          <cell r="K243" t="str">
            <v>Medium</v>
          </cell>
          <cell r="L243" t="str">
            <v>Regular</v>
          </cell>
          <cell r="M243">
            <v>45271</v>
          </cell>
          <cell r="N243">
            <v>5</v>
          </cell>
          <cell r="O243">
            <v>5</v>
          </cell>
          <cell r="P243">
            <v>44.645223979999997</v>
          </cell>
          <cell r="Q243">
            <v>223.22611989999999</v>
          </cell>
          <cell r="R243" t="str">
            <v>Books</v>
          </cell>
          <cell r="S243" t="str">
            <v>Books</v>
          </cell>
          <cell r="T243" t="str">
            <v>Literature</v>
          </cell>
          <cell r="U243" t="str">
            <v>Books</v>
          </cell>
          <cell r="V243" t="str">
            <v>Good</v>
          </cell>
          <cell r="W243" t="str">
            <v>Good</v>
          </cell>
          <cell r="X243" t="str">
            <v>Same-Day</v>
          </cell>
          <cell r="Y243">
            <v>3</v>
          </cell>
          <cell r="Z243">
            <v>3</v>
          </cell>
        </row>
        <row r="244">
          <cell r="A244">
            <v>4237878</v>
          </cell>
          <cell r="B244">
            <v>11577</v>
          </cell>
          <cell r="C244" t="str">
            <v>Mrs. Kimberly Austin MD</v>
          </cell>
          <cell r="D244" t="str">
            <v>Portsmouth</v>
          </cell>
          <cell r="E244" t="str">
            <v>England</v>
          </cell>
          <cell r="F244" t="str">
            <v>UK</v>
          </cell>
          <cell r="G244">
            <v>63</v>
          </cell>
          <cell r="H244">
            <v>63</v>
          </cell>
          <cell r="I244" t="str">
            <v>Female</v>
          </cell>
          <cell r="J244" t="str">
            <v>Female</v>
          </cell>
          <cell r="K244" t="str">
            <v>High</v>
          </cell>
          <cell r="L244" t="str">
            <v>Regular</v>
          </cell>
          <cell r="M244">
            <v>45122</v>
          </cell>
          <cell r="N244">
            <v>3</v>
          </cell>
          <cell r="O244">
            <v>3</v>
          </cell>
          <cell r="P244">
            <v>41.445077390000002</v>
          </cell>
          <cell r="Q244">
            <v>124.33523219999999</v>
          </cell>
          <cell r="R244" t="str">
            <v>Home Decor</v>
          </cell>
          <cell r="S244" t="str">
            <v>Home Decor</v>
          </cell>
          <cell r="T244" t="str">
            <v>Kitchen</v>
          </cell>
          <cell r="U244" t="str">
            <v>Home Decor</v>
          </cell>
          <cell r="V244" t="str">
            <v>Good</v>
          </cell>
          <cell r="W244" t="str">
            <v>Good</v>
          </cell>
          <cell r="X244" t="str">
            <v>Standard</v>
          </cell>
          <cell r="Y244">
            <v>4</v>
          </cell>
          <cell r="Z244">
            <v>4</v>
          </cell>
        </row>
        <row r="245">
          <cell r="A245">
            <v>2115776</v>
          </cell>
          <cell r="B245">
            <v>39581</v>
          </cell>
          <cell r="C245" t="str">
            <v>Ryan Richmond DVM</v>
          </cell>
          <cell r="D245" t="str">
            <v>Portsmouth</v>
          </cell>
          <cell r="E245" t="str">
            <v>England</v>
          </cell>
          <cell r="F245" t="str">
            <v>UK</v>
          </cell>
          <cell r="G245">
            <v>55</v>
          </cell>
          <cell r="H245">
            <v>55</v>
          </cell>
          <cell r="I245" t="str">
            <v>Male</v>
          </cell>
          <cell r="J245" t="str">
            <v>Male</v>
          </cell>
          <cell r="K245" t="str">
            <v>Medium</v>
          </cell>
          <cell r="L245" t="str">
            <v>Regular</v>
          </cell>
          <cell r="M245">
            <v>45147</v>
          </cell>
          <cell r="N245">
            <v>1</v>
          </cell>
          <cell r="O245">
            <v>1</v>
          </cell>
          <cell r="P245">
            <v>190.32789829999999</v>
          </cell>
          <cell r="Q245">
            <v>190.32789829999999</v>
          </cell>
          <cell r="R245" t="str">
            <v>Electronics</v>
          </cell>
          <cell r="S245" t="str">
            <v>Electronics</v>
          </cell>
          <cell r="T245" t="str">
            <v>Television</v>
          </cell>
          <cell r="U245" t="str">
            <v>Electronics</v>
          </cell>
          <cell r="V245" t="str">
            <v>Bad</v>
          </cell>
          <cell r="W245" t="str">
            <v>Bad</v>
          </cell>
          <cell r="X245" t="str">
            <v>Standard</v>
          </cell>
          <cell r="Y245">
            <v>1</v>
          </cell>
          <cell r="Z245">
            <v>1</v>
          </cell>
        </row>
        <row r="246">
          <cell r="A246">
            <v>9934274</v>
          </cell>
          <cell r="B246">
            <v>48777</v>
          </cell>
          <cell r="C246" t="str">
            <v>Donna Hodges</v>
          </cell>
          <cell r="D246" t="str">
            <v>Portsmouth</v>
          </cell>
          <cell r="E246" t="str">
            <v>England</v>
          </cell>
          <cell r="F246" t="str">
            <v>UK</v>
          </cell>
          <cell r="G246">
            <v>23</v>
          </cell>
          <cell r="H246">
            <v>23</v>
          </cell>
          <cell r="I246" t="str">
            <v>Female</v>
          </cell>
          <cell r="J246" t="str">
            <v>Female</v>
          </cell>
          <cell r="K246" t="str">
            <v>Medium</v>
          </cell>
          <cell r="L246" t="str">
            <v>Regular</v>
          </cell>
          <cell r="M246">
            <v>45178</v>
          </cell>
          <cell r="N246">
            <v>1</v>
          </cell>
          <cell r="O246">
            <v>1</v>
          </cell>
          <cell r="P246">
            <v>440.64780380000002</v>
          </cell>
          <cell r="Q246">
            <v>440.64780380000002</v>
          </cell>
          <cell r="R246" t="str">
            <v>Books</v>
          </cell>
          <cell r="S246" t="str">
            <v>Books</v>
          </cell>
          <cell r="T246" t="str">
            <v>Non-Fiction</v>
          </cell>
          <cell r="U246" t="str">
            <v>Books</v>
          </cell>
          <cell r="V246" t="str">
            <v>Good</v>
          </cell>
          <cell r="W246" t="str">
            <v>Good</v>
          </cell>
          <cell r="X246" t="str">
            <v>Same-Day</v>
          </cell>
          <cell r="Y246">
            <v>4</v>
          </cell>
          <cell r="Z246">
            <v>4</v>
          </cell>
        </row>
        <row r="247">
          <cell r="A247">
            <v>6471367</v>
          </cell>
          <cell r="B247">
            <v>13265</v>
          </cell>
          <cell r="C247" t="str">
            <v>Victoria Mclaughlin</v>
          </cell>
          <cell r="D247" t="str">
            <v>Portsmouth</v>
          </cell>
          <cell r="E247" t="str">
            <v>England</v>
          </cell>
          <cell r="F247" t="str">
            <v>UK</v>
          </cell>
          <cell r="G247">
            <v>40</v>
          </cell>
          <cell r="H247">
            <v>40</v>
          </cell>
          <cell r="I247" t="str">
            <v>Female</v>
          </cell>
          <cell r="J247" t="str">
            <v>Female</v>
          </cell>
          <cell r="K247" t="str">
            <v>Medium</v>
          </cell>
          <cell r="L247" t="str">
            <v>Regular</v>
          </cell>
          <cell r="M247">
            <v>45189</v>
          </cell>
          <cell r="N247">
            <v>10</v>
          </cell>
          <cell r="O247">
            <v>10</v>
          </cell>
          <cell r="P247">
            <v>192.7124359</v>
          </cell>
          <cell r="Q247">
            <v>1927.1243589999999</v>
          </cell>
          <cell r="R247" t="str">
            <v>Grocery</v>
          </cell>
          <cell r="S247" t="str">
            <v>Grocery</v>
          </cell>
          <cell r="T247" t="str">
            <v>Chocolate</v>
          </cell>
          <cell r="U247" t="str">
            <v>Grocery</v>
          </cell>
          <cell r="V247" t="str">
            <v>Excellent</v>
          </cell>
          <cell r="W247" t="str">
            <v>Excellent</v>
          </cell>
          <cell r="X247" t="str">
            <v>Standard</v>
          </cell>
          <cell r="Y247">
            <v>4</v>
          </cell>
          <cell r="Z247">
            <v>4</v>
          </cell>
        </row>
        <row r="248">
          <cell r="A248">
            <v>7918631</v>
          </cell>
          <cell r="B248">
            <v>30726</v>
          </cell>
          <cell r="C248" t="str">
            <v>Christopher Barton</v>
          </cell>
          <cell r="D248" t="str">
            <v>Portsmouth</v>
          </cell>
          <cell r="E248" t="str">
            <v>England</v>
          </cell>
          <cell r="F248" t="str">
            <v>UK</v>
          </cell>
          <cell r="G248">
            <v>64</v>
          </cell>
          <cell r="H248">
            <v>64</v>
          </cell>
          <cell r="I248" t="str">
            <v>Male</v>
          </cell>
          <cell r="J248" t="str">
            <v>Male</v>
          </cell>
          <cell r="K248" t="str">
            <v>Medium</v>
          </cell>
          <cell r="L248" t="str">
            <v>Regular</v>
          </cell>
          <cell r="M248">
            <v>45143</v>
          </cell>
          <cell r="N248">
            <v>9</v>
          </cell>
          <cell r="O248">
            <v>9</v>
          </cell>
          <cell r="P248">
            <v>430.10281420000001</v>
          </cell>
          <cell r="Q248">
            <v>3870.9253279999998</v>
          </cell>
          <cell r="R248" t="str">
            <v>Books</v>
          </cell>
          <cell r="S248" t="str">
            <v>Books</v>
          </cell>
          <cell r="T248" t="str">
            <v>Fiction</v>
          </cell>
          <cell r="U248" t="str">
            <v>Books</v>
          </cell>
          <cell r="V248" t="str">
            <v>Bad</v>
          </cell>
          <cell r="W248" t="str">
            <v>Bad</v>
          </cell>
          <cell r="X248" t="str">
            <v>Standard</v>
          </cell>
          <cell r="Y248">
            <v>1</v>
          </cell>
          <cell r="Z248">
            <v>1</v>
          </cell>
        </row>
        <row r="249">
          <cell r="A249">
            <v>5728582</v>
          </cell>
          <cell r="B249">
            <v>78509</v>
          </cell>
          <cell r="C249" t="str">
            <v>Joshua Hatfield</v>
          </cell>
          <cell r="D249" t="str">
            <v>Portsmouth</v>
          </cell>
          <cell r="E249" t="str">
            <v>England</v>
          </cell>
          <cell r="F249" t="str">
            <v>UK</v>
          </cell>
          <cell r="G249">
            <v>45</v>
          </cell>
          <cell r="H249">
            <v>45</v>
          </cell>
          <cell r="I249" t="str">
            <v>Female</v>
          </cell>
          <cell r="J249" t="str">
            <v>Female</v>
          </cell>
          <cell r="K249" t="str">
            <v>High</v>
          </cell>
          <cell r="L249" t="str">
            <v>Regular</v>
          </cell>
          <cell r="M249">
            <v>45212</v>
          </cell>
          <cell r="N249">
            <v>8</v>
          </cell>
          <cell r="O249">
            <v>8</v>
          </cell>
          <cell r="P249">
            <v>146.68880139999999</v>
          </cell>
          <cell r="Q249">
            <v>1173.510411</v>
          </cell>
          <cell r="R249" t="str">
            <v>Clothing</v>
          </cell>
          <cell r="S249" t="str">
            <v>Clothing</v>
          </cell>
          <cell r="T249" t="str">
            <v>Jacket</v>
          </cell>
          <cell r="U249" t="str">
            <v>Clothing</v>
          </cell>
          <cell r="V249" t="str">
            <v>Good</v>
          </cell>
          <cell r="W249" t="str">
            <v>Good</v>
          </cell>
          <cell r="X249" t="str">
            <v>Standard</v>
          </cell>
          <cell r="Y249">
            <v>4</v>
          </cell>
          <cell r="Z249">
            <v>4</v>
          </cell>
        </row>
        <row r="250">
          <cell r="A250">
            <v>1983549</v>
          </cell>
          <cell r="B250">
            <v>18932</v>
          </cell>
          <cell r="C250" t="str">
            <v>Karina Wade</v>
          </cell>
          <cell r="D250" t="str">
            <v>Portsmouth</v>
          </cell>
          <cell r="E250" t="str">
            <v>England</v>
          </cell>
          <cell r="F250" t="str">
            <v>UK</v>
          </cell>
          <cell r="G250">
            <v>40</v>
          </cell>
          <cell r="H250">
            <v>40</v>
          </cell>
          <cell r="I250" t="str">
            <v>Female</v>
          </cell>
          <cell r="J250" t="str">
            <v>Female</v>
          </cell>
          <cell r="K250" t="str">
            <v>High</v>
          </cell>
          <cell r="L250" t="str">
            <v>Regular</v>
          </cell>
          <cell r="M250">
            <v>45199</v>
          </cell>
          <cell r="N250">
            <v>7</v>
          </cell>
          <cell r="O250">
            <v>7</v>
          </cell>
          <cell r="P250">
            <v>123.8693835</v>
          </cell>
          <cell r="Q250">
            <v>867.08568419999995</v>
          </cell>
          <cell r="R250" t="str">
            <v>Clothing</v>
          </cell>
          <cell r="S250" t="str">
            <v>Clothing</v>
          </cell>
          <cell r="T250" t="str">
            <v>T-shirt</v>
          </cell>
          <cell r="U250" t="str">
            <v>Clothing</v>
          </cell>
          <cell r="V250" t="str">
            <v>Excellent</v>
          </cell>
          <cell r="W250" t="str">
            <v>Excellent</v>
          </cell>
          <cell r="X250" t="str">
            <v>Same-Day</v>
          </cell>
          <cell r="Y250">
            <v>4</v>
          </cell>
          <cell r="Z250">
            <v>4</v>
          </cell>
        </row>
        <row r="251">
          <cell r="A251">
            <v>1722757</v>
          </cell>
          <cell r="B251">
            <v>39003</v>
          </cell>
          <cell r="C251" t="str">
            <v>Shelby Perry</v>
          </cell>
          <cell r="D251" t="str">
            <v>Portsmouth</v>
          </cell>
          <cell r="E251" t="str">
            <v>England</v>
          </cell>
          <cell r="F251" t="str">
            <v>UK</v>
          </cell>
          <cell r="G251">
            <v>23</v>
          </cell>
          <cell r="H251">
            <v>23</v>
          </cell>
          <cell r="I251" t="str">
            <v>Female</v>
          </cell>
          <cell r="J251" t="str">
            <v>Female</v>
          </cell>
          <cell r="K251" t="str">
            <v>High</v>
          </cell>
          <cell r="L251" t="str">
            <v>Regular</v>
          </cell>
          <cell r="M251">
            <v>45080</v>
          </cell>
          <cell r="N251">
            <v>2</v>
          </cell>
          <cell r="O251">
            <v>2</v>
          </cell>
          <cell r="P251">
            <v>486.21569679999999</v>
          </cell>
          <cell r="Q251">
            <v>972.43139350000001</v>
          </cell>
          <cell r="R251" t="str">
            <v>Electronics</v>
          </cell>
          <cell r="S251" t="str">
            <v>Electronics</v>
          </cell>
          <cell r="T251" t="str">
            <v>Television</v>
          </cell>
          <cell r="U251" t="str">
            <v>Electronics</v>
          </cell>
          <cell r="V251" t="str">
            <v>Bad</v>
          </cell>
          <cell r="W251" t="str">
            <v>Bad</v>
          </cell>
          <cell r="X251" t="str">
            <v>Standard</v>
          </cell>
          <cell r="Y251">
            <v>1</v>
          </cell>
          <cell r="Z251">
            <v>1</v>
          </cell>
        </row>
        <row r="252">
          <cell r="A252">
            <v>5476448</v>
          </cell>
          <cell r="B252">
            <v>15698</v>
          </cell>
          <cell r="C252" t="str">
            <v>Debbie Sanchez</v>
          </cell>
          <cell r="D252" t="str">
            <v>Portsmouth</v>
          </cell>
          <cell r="E252" t="str">
            <v>England</v>
          </cell>
          <cell r="F252" t="str">
            <v>UK</v>
          </cell>
          <cell r="G252">
            <v>50</v>
          </cell>
          <cell r="H252">
            <v>50</v>
          </cell>
          <cell r="I252" t="str">
            <v>Male</v>
          </cell>
          <cell r="J252" t="str">
            <v>Male</v>
          </cell>
          <cell r="K252" t="str">
            <v>Medium</v>
          </cell>
          <cell r="L252" t="str">
            <v>Regular</v>
          </cell>
          <cell r="M252">
            <v>45341</v>
          </cell>
          <cell r="N252">
            <v>8</v>
          </cell>
          <cell r="O252">
            <v>8</v>
          </cell>
          <cell r="P252">
            <v>486.40987669999998</v>
          </cell>
          <cell r="Q252">
            <v>3891.2790140000002</v>
          </cell>
          <cell r="R252" t="str">
            <v>Electronics</v>
          </cell>
          <cell r="S252" t="str">
            <v>Electronics</v>
          </cell>
          <cell r="T252" t="str">
            <v>Television</v>
          </cell>
          <cell r="U252" t="str">
            <v>Electronics</v>
          </cell>
          <cell r="V252" t="str">
            <v>Excellent</v>
          </cell>
          <cell r="W252" t="str">
            <v>Excellent</v>
          </cell>
          <cell r="X252" t="str">
            <v>Same-Day</v>
          </cell>
          <cell r="Y252">
            <v>5</v>
          </cell>
          <cell r="Z252">
            <v>5</v>
          </cell>
        </row>
        <row r="253">
          <cell r="A253">
            <v>5776200</v>
          </cell>
          <cell r="B253">
            <v>78206</v>
          </cell>
          <cell r="C253" t="str">
            <v>Ana Perez</v>
          </cell>
          <cell r="D253" t="str">
            <v>Portsmouth</v>
          </cell>
          <cell r="E253" t="str">
            <v>England</v>
          </cell>
          <cell r="F253" t="str">
            <v>UK</v>
          </cell>
          <cell r="G253">
            <v>24</v>
          </cell>
          <cell r="H253">
            <v>24</v>
          </cell>
          <cell r="I253" t="str">
            <v>Male</v>
          </cell>
          <cell r="J253" t="str">
            <v>Male</v>
          </cell>
          <cell r="K253" t="str">
            <v>High</v>
          </cell>
          <cell r="L253" t="str">
            <v>Regular</v>
          </cell>
          <cell r="M253">
            <v>45065</v>
          </cell>
          <cell r="N253">
            <v>1</v>
          </cell>
          <cell r="O253">
            <v>1</v>
          </cell>
          <cell r="P253">
            <v>79.975723369999997</v>
          </cell>
          <cell r="Q253">
            <v>79.975723369999997</v>
          </cell>
          <cell r="R253" t="str">
            <v>Electronics</v>
          </cell>
          <cell r="S253" t="str">
            <v>Electronics</v>
          </cell>
          <cell r="T253" t="str">
            <v>Tablet</v>
          </cell>
          <cell r="U253" t="str">
            <v>Electronics</v>
          </cell>
          <cell r="V253" t="str">
            <v>Good</v>
          </cell>
          <cell r="W253" t="str">
            <v>Good</v>
          </cell>
          <cell r="X253" t="str">
            <v>Same-Day</v>
          </cell>
          <cell r="Y253">
            <v>4</v>
          </cell>
          <cell r="Z253">
            <v>4</v>
          </cell>
        </row>
        <row r="254">
          <cell r="A254">
            <v>9082675</v>
          </cell>
          <cell r="B254">
            <v>56459</v>
          </cell>
          <cell r="C254" t="str">
            <v>Tyler Lopez</v>
          </cell>
          <cell r="D254" t="str">
            <v>Portsmouth</v>
          </cell>
          <cell r="E254" t="str">
            <v>England</v>
          </cell>
          <cell r="F254" t="str">
            <v>UK</v>
          </cell>
          <cell r="G254">
            <v>18</v>
          </cell>
          <cell r="H254">
            <v>18</v>
          </cell>
          <cell r="I254" t="str">
            <v>Male</v>
          </cell>
          <cell r="J254" t="str">
            <v>Male</v>
          </cell>
          <cell r="K254" t="str">
            <v>Medium</v>
          </cell>
          <cell r="L254" t="str">
            <v>Regular</v>
          </cell>
          <cell r="M254">
            <v>45205</v>
          </cell>
          <cell r="N254">
            <v>3</v>
          </cell>
          <cell r="O254">
            <v>3</v>
          </cell>
          <cell r="P254">
            <v>112.2262928</v>
          </cell>
          <cell r="Q254">
            <v>336.6788785</v>
          </cell>
          <cell r="R254" t="str">
            <v>Home Decor</v>
          </cell>
          <cell r="S254" t="str">
            <v>Home Decor</v>
          </cell>
          <cell r="T254" t="str">
            <v>Furniture</v>
          </cell>
          <cell r="U254" t="str">
            <v>Home Decor</v>
          </cell>
          <cell r="V254" t="str">
            <v>Bad</v>
          </cell>
          <cell r="W254" t="str">
            <v>Bad</v>
          </cell>
          <cell r="X254" t="str">
            <v>Express</v>
          </cell>
          <cell r="Y254">
            <v>1</v>
          </cell>
          <cell r="Z254">
            <v>1</v>
          </cell>
        </row>
        <row r="255">
          <cell r="A255">
            <v>1748365</v>
          </cell>
          <cell r="B255">
            <v>67367</v>
          </cell>
          <cell r="C255" t="str">
            <v>Tracy Carson</v>
          </cell>
          <cell r="D255" t="str">
            <v>Portsmouth</v>
          </cell>
          <cell r="E255" t="str">
            <v>England</v>
          </cell>
          <cell r="F255" t="str">
            <v>UK</v>
          </cell>
          <cell r="G255">
            <v>26</v>
          </cell>
          <cell r="H255">
            <v>26</v>
          </cell>
          <cell r="I255" t="str">
            <v>Female</v>
          </cell>
          <cell r="J255" t="str">
            <v>Female</v>
          </cell>
          <cell r="K255" t="str">
            <v>Medium</v>
          </cell>
          <cell r="L255" t="str">
            <v>Regular</v>
          </cell>
          <cell r="M255">
            <v>45262</v>
          </cell>
          <cell r="N255">
            <v>5</v>
          </cell>
          <cell r="O255">
            <v>5</v>
          </cell>
          <cell r="P255">
            <v>166.6772163</v>
          </cell>
          <cell r="Q255">
            <v>833.38608139999997</v>
          </cell>
          <cell r="R255" t="str">
            <v>Electronics</v>
          </cell>
          <cell r="S255" t="str">
            <v>Electronics</v>
          </cell>
          <cell r="T255" t="str">
            <v>Laptop</v>
          </cell>
          <cell r="U255" t="str">
            <v>Electronics</v>
          </cell>
          <cell r="V255" t="str">
            <v>Good</v>
          </cell>
          <cell r="W255" t="str">
            <v>Good</v>
          </cell>
          <cell r="X255" t="str">
            <v>Express</v>
          </cell>
          <cell r="Y255">
            <v>4</v>
          </cell>
          <cell r="Z255">
            <v>4</v>
          </cell>
        </row>
        <row r="256">
          <cell r="A256">
            <v>9046550</v>
          </cell>
          <cell r="B256">
            <v>33661</v>
          </cell>
          <cell r="C256" t="str">
            <v>Susan Lester</v>
          </cell>
          <cell r="D256" t="str">
            <v>Portsmouth</v>
          </cell>
          <cell r="E256" t="str">
            <v>England</v>
          </cell>
          <cell r="F256" t="str">
            <v>UK</v>
          </cell>
          <cell r="G256">
            <v>64</v>
          </cell>
          <cell r="H256">
            <v>64</v>
          </cell>
          <cell r="I256" t="str">
            <v>Female</v>
          </cell>
          <cell r="J256" t="str">
            <v>Female</v>
          </cell>
          <cell r="K256" t="str">
            <v>Medium</v>
          </cell>
          <cell r="L256" t="str">
            <v>Regular</v>
          </cell>
          <cell r="M256">
            <v>45192</v>
          </cell>
          <cell r="N256">
            <v>7</v>
          </cell>
          <cell r="O256">
            <v>7</v>
          </cell>
          <cell r="P256">
            <v>164.22260259999999</v>
          </cell>
          <cell r="Q256">
            <v>1149.5582179999999</v>
          </cell>
          <cell r="R256" t="str">
            <v>Books</v>
          </cell>
          <cell r="S256" t="str">
            <v>Books</v>
          </cell>
          <cell r="T256" t="str">
            <v>Fiction</v>
          </cell>
          <cell r="U256" t="str">
            <v>Books</v>
          </cell>
          <cell r="V256" t="str">
            <v>Bad</v>
          </cell>
          <cell r="W256" t="str">
            <v>Bad</v>
          </cell>
          <cell r="X256" t="str">
            <v>Express</v>
          </cell>
          <cell r="Y256">
            <v>1</v>
          </cell>
          <cell r="Z256">
            <v>1</v>
          </cell>
        </row>
        <row r="257">
          <cell r="A257">
            <v>2060840</v>
          </cell>
          <cell r="B257">
            <v>28588</v>
          </cell>
          <cell r="C257" t="str">
            <v>David Colon</v>
          </cell>
          <cell r="D257" t="str">
            <v>Portsmouth</v>
          </cell>
          <cell r="E257" t="str">
            <v>England</v>
          </cell>
          <cell r="F257" t="str">
            <v>UK</v>
          </cell>
          <cell r="G257">
            <v>47</v>
          </cell>
          <cell r="H257">
            <v>47</v>
          </cell>
          <cell r="I257" t="str">
            <v>Male</v>
          </cell>
          <cell r="J257" t="str">
            <v>Male</v>
          </cell>
          <cell r="K257" t="str">
            <v>Low</v>
          </cell>
          <cell r="L257" t="str">
            <v>Regular</v>
          </cell>
          <cell r="M257">
            <v>45163</v>
          </cell>
          <cell r="N257">
            <v>7</v>
          </cell>
          <cell r="O257">
            <v>7</v>
          </cell>
          <cell r="P257">
            <v>304.87019700000002</v>
          </cell>
          <cell r="Q257">
            <v>2134.091379</v>
          </cell>
          <cell r="R257" t="str">
            <v>Clothing</v>
          </cell>
          <cell r="S257" t="str">
            <v>Clothing</v>
          </cell>
          <cell r="T257" t="str">
            <v>T-shirt</v>
          </cell>
          <cell r="U257" t="str">
            <v>Clothing</v>
          </cell>
          <cell r="V257" t="str">
            <v>Good</v>
          </cell>
          <cell r="W257" t="str">
            <v>Good</v>
          </cell>
          <cell r="X257" t="str">
            <v>Express</v>
          </cell>
          <cell r="Y257">
            <v>3</v>
          </cell>
          <cell r="Z257">
            <v>3</v>
          </cell>
        </row>
        <row r="258">
          <cell r="A258">
            <v>3421899</v>
          </cell>
          <cell r="B258">
            <v>62301</v>
          </cell>
          <cell r="C258" t="str">
            <v>Travis Jones</v>
          </cell>
          <cell r="D258" t="str">
            <v>Portsmouth</v>
          </cell>
          <cell r="E258" t="str">
            <v>England</v>
          </cell>
          <cell r="F258" t="str">
            <v>UK</v>
          </cell>
          <cell r="G258">
            <v>50</v>
          </cell>
          <cell r="H258">
            <v>50</v>
          </cell>
          <cell r="I258" t="str">
            <v>Female</v>
          </cell>
          <cell r="J258" t="str">
            <v>Female</v>
          </cell>
          <cell r="K258" t="str">
            <v>Low</v>
          </cell>
          <cell r="L258" t="str">
            <v>Regular</v>
          </cell>
          <cell r="M258">
            <v>45135</v>
          </cell>
          <cell r="N258">
            <v>7</v>
          </cell>
          <cell r="O258">
            <v>7</v>
          </cell>
          <cell r="P258">
            <v>78.219126200000005</v>
          </cell>
          <cell r="Q258">
            <v>547.53388340000004</v>
          </cell>
          <cell r="R258" t="str">
            <v>Electronics</v>
          </cell>
          <cell r="S258" t="str">
            <v>Electronics</v>
          </cell>
          <cell r="T258" t="str">
            <v>Smartphone</v>
          </cell>
          <cell r="U258" t="str">
            <v>Electronics</v>
          </cell>
          <cell r="V258" t="str">
            <v>Good</v>
          </cell>
          <cell r="W258" t="str">
            <v>Good</v>
          </cell>
          <cell r="X258" t="str">
            <v>Standard</v>
          </cell>
          <cell r="Y258">
            <v>3</v>
          </cell>
          <cell r="Z258">
            <v>3</v>
          </cell>
        </row>
        <row r="259">
          <cell r="A259">
            <v>2761901</v>
          </cell>
          <cell r="B259">
            <v>79517</v>
          </cell>
          <cell r="C259" t="str">
            <v>Brittany Myers</v>
          </cell>
          <cell r="D259" t="str">
            <v>Portsmouth</v>
          </cell>
          <cell r="E259" t="str">
            <v>England</v>
          </cell>
          <cell r="F259" t="str">
            <v>UK</v>
          </cell>
          <cell r="G259">
            <v>62</v>
          </cell>
          <cell r="H259">
            <v>62</v>
          </cell>
          <cell r="I259" t="str">
            <v>Female</v>
          </cell>
          <cell r="J259" t="str">
            <v>Female</v>
          </cell>
          <cell r="K259" t="str">
            <v>High</v>
          </cell>
          <cell r="L259" t="str">
            <v>Regular</v>
          </cell>
          <cell r="M259">
            <v>45334</v>
          </cell>
          <cell r="N259">
            <v>8</v>
          </cell>
          <cell r="O259">
            <v>8</v>
          </cell>
          <cell r="P259">
            <v>88.347889030000005</v>
          </cell>
          <cell r="Q259">
            <v>706.78311220000001</v>
          </cell>
          <cell r="R259" t="str">
            <v>Books</v>
          </cell>
          <cell r="S259" t="str">
            <v>Books</v>
          </cell>
          <cell r="T259" t="str">
            <v>Non-Fiction</v>
          </cell>
          <cell r="U259" t="str">
            <v>Books</v>
          </cell>
          <cell r="V259" t="str">
            <v>Bad</v>
          </cell>
          <cell r="W259" t="str">
            <v>Bad</v>
          </cell>
          <cell r="X259" t="str">
            <v>Express</v>
          </cell>
          <cell r="Y259">
            <v>1</v>
          </cell>
          <cell r="Z259">
            <v>1</v>
          </cell>
        </row>
        <row r="260">
          <cell r="A260">
            <v>1625398</v>
          </cell>
          <cell r="B260">
            <v>76133</v>
          </cell>
          <cell r="C260" t="str">
            <v>Cathy Cooper</v>
          </cell>
          <cell r="D260" t="str">
            <v>Portsmouth</v>
          </cell>
          <cell r="E260" t="str">
            <v>England</v>
          </cell>
          <cell r="F260" t="str">
            <v>UK</v>
          </cell>
          <cell r="G260">
            <v>21</v>
          </cell>
          <cell r="H260">
            <v>21</v>
          </cell>
          <cell r="I260" t="str">
            <v>Female</v>
          </cell>
          <cell r="J260" t="str">
            <v>Female</v>
          </cell>
          <cell r="K260" t="str">
            <v>Medium</v>
          </cell>
          <cell r="L260" t="str">
            <v>Regular</v>
          </cell>
          <cell r="M260">
            <v>45349</v>
          </cell>
          <cell r="N260">
            <v>7</v>
          </cell>
          <cell r="O260">
            <v>7</v>
          </cell>
          <cell r="P260">
            <v>37.716064809999999</v>
          </cell>
          <cell r="Q260">
            <v>264.01245369999998</v>
          </cell>
          <cell r="R260" t="str">
            <v>Clothing</v>
          </cell>
          <cell r="S260" t="str">
            <v>Clothing</v>
          </cell>
          <cell r="T260" t="str">
            <v>Dress</v>
          </cell>
          <cell r="U260" t="str">
            <v>Clothing</v>
          </cell>
          <cell r="V260" t="str">
            <v>Average</v>
          </cell>
          <cell r="W260" t="str">
            <v>Average</v>
          </cell>
          <cell r="X260" t="str">
            <v>Standard</v>
          </cell>
          <cell r="Y260">
            <v>2</v>
          </cell>
          <cell r="Z260">
            <v>2</v>
          </cell>
        </row>
        <row r="261">
          <cell r="A261">
            <v>5281561</v>
          </cell>
          <cell r="B261">
            <v>65159</v>
          </cell>
          <cell r="C261" t="str">
            <v>Susan Vasquez</v>
          </cell>
          <cell r="D261" t="str">
            <v>Portsmouth</v>
          </cell>
          <cell r="E261" t="str">
            <v>England</v>
          </cell>
          <cell r="F261" t="str">
            <v>UK</v>
          </cell>
          <cell r="G261">
            <v>35</v>
          </cell>
          <cell r="H261">
            <v>35</v>
          </cell>
          <cell r="I261" t="str">
            <v>Female</v>
          </cell>
          <cell r="J261" t="str">
            <v>Female</v>
          </cell>
          <cell r="K261" t="str">
            <v>Medium</v>
          </cell>
          <cell r="L261" t="str">
            <v>Regular</v>
          </cell>
          <cell r="M261">
            <v>45086</v>
          </cell>
          <cell r="N261">
            <v>10</v>
          </cell>
          <cell r="O261">
            <v>10</v>
          </cell>
          <cell r="P261">
            <v>101.535408</v>
          </cell>
          <cell r="Q261">
            <v>1015.35408</v>
          </cell>
          <cell r="R261" t="str">
            <v>Electronics</v>
          </cell>
          <cell r="S261" t="str">
            <v>Electronics</v>
          </cell>
          <cell r="T261" t="str">
            <v>Television</v>
          </cell>
          <cell r="U261" t="str">
            <v>Electronics</v>
          </cell>
          <cell r="V261" t="str">
            <v>Good</v>
          </cell>
          <cell r="W261" t="str">
            <v>Good</v>
          </cell>
          <cell r="X261" t="str">
            <v>Same-Day</v>
          </cell>
          <cell r="Y261">
            <v>3</v>
          </cell>
          <cell r="Z261">
            <v>3</v>
          </cell>
        </row>
        <row r="262">
          <cell r="A262">
            <v>9484842</v>
          </cell>
          <cell r="B262">
            <v>17558</v>
          </cell>
          <cell r="C262" t="str">
            <v>William Lee</v>
          </cell>
          <cell r="D262" t="str">
            <v>Portsmouth</v>
          </cell>
          <cell r="E262" t="str">
            <v>England</v>
          </cell>
          <cell r="F262" t="str">
            <v>UK</v>
          </cell>
          <cell r="G262">
            <v>68</v>
          </cell>
          <cell r="H262">
            <v>68</v>
          </cell>
          <cell r="I262" t="str">
            <v>Male</v>
          </cell>
          <cell r="J262" t="str">
            <v>Male</v>
          </cell>
          <cell r="K262" t="str">
            <v>Low</v>
          </cell>
          <cell r="L262" t="str">
            <v>Regular</v>
          </cell>
          <cell r="M262">
            <v>45008</v>
          </cell>
          <cell r="N262">
            <v>8</v>
          </cell>
          <cell r="O262">
            <v>8</v>
          </cell>
          <cell r="P262">
            <v>19.821976830000001</v>
          </cell>
          <cell r="Q262">
            <v>158.5758147</v>
          </cell>
          <cell r="R262" t="str">
            <v>Clothing</v>
          </cell>
          <cell r="S262" t="str">
            <v>Clothing</v>
          </cell>
          <cell r="T262" t="str">
            <v>Shoes</v>
          </cell>
          <cell r="U262" t="str">
            <v>Clothing</v>
          </cell>
          <cell r="V262" t="str">
            <v>Good</v>
          </cell>
          <cell r="W262" t="str">
            <v>Good</v>
          </cell>
          <cell r="X262" t="str">
            <v>Standard</v>
          </cell>
          <cell r="Y262">
            <v>4</v>
          </cell>
          <cell r="Z262">
            <v>4</v>
          </cell>
        </row>
        <row r="263">
          <cell r="A263">
            <v>9719734</v>
          </cell>
          <cell r="B263">
            <v>95531</v>
          </cell>
          <cell r="C263" t="str">
            <v>Holly Gordon</v>
          </cell>
          <cell r="D263" t="str">
            <v>Portsmouth</v>
          </cell>
          <cell r="E263" t="str">
            <v>England</v>
          </cell>
          <cell r="F263" t="str">
            <v>UK</v>
          </cell>
          <cell r="G263">
            <v>43</v>
          </cell>
          <cell r="H263">
            <v>43</v>
          </cell>
          <cell r="I263" t="str">
            <v>Female</v>
          </cell>
          <cell r="J263" t="str">
            <v>Female</v>
          </cell>
          <cell r="K263" t="str">
            <v>Low</v>
          </cell>
          <cell r="L263" t="str">
            <v>Regular</v>
          </cell>
          <cell r="M263">
            <v>45012</v>
          </cell>
          <cell r="N263">
            <v>5</v>
          </cell>
          <cell r="O263">
            <v>5</v>
          </cell>
          <cell r="P263">
            <v>154.45325510000001</v>
          </cell>
          <cell r="Q263">
            <v>772.26627559999997</v>
          </cell>
          <cell r="R263" t="str">
            <v>Clothing</v>
          </cell>
          <cell r="S263" t="str">
            <v>Clothing</v>
          </cell>
          <cell r="T263" t="str">
            <v>Shoes</v>
          </cell>
          <cell r="U263" t="str">
            <v>Clothing</v>
          </cell>
          <cell r="V263" t="str">
            <v>Average</v>
          </cell>
          <cell r="W263" t="str">
            <v>Average</v>
          </cell>
          <cell r="X263" t="str">
            <v>Express</v>
          </cell>
          <cell r="Y263">
            <v>2</v>
          </cell>
          <cell r="Z263">
            <v>2</v>
          </cell>
        </row>
        <row r="264">
          <cell r="A264">
            <v>9596556</v>
          </cell>
          <cell r="B264">
            <v>36083</v>
          </cell>
          <cell r="C264" t="str">
            <v>Fred Whitaker</v>
          </cell>
          <cell r="D264" t="str">
            <v>Portsmouth</v>
          </cell>
          <cell r="E264" t="str">
            <v>England</v>
          </cell>
          <cell r="F264" t="str">
            <v>UK</v>
          </cell>
          <cell r="G264">
            <v>69</v>
          </cell>
          <cell r="H264">
            <v>69</v>
          </cell>
          <cell r="I264" t="str">
            <v>Female</v>
          </cell>
          <cell r="J264" t="str">
            <v>Female</v>
          </cell>
          <cell r="K264" t="str">
            <v>Medium</v>
          </cell>
          <cell r="L264" t="str">
            <v>Regular</v>
          </cell>
          <cell r="M264">
            <v>45001</v>
          </cell>
          <cell r="N264">
            <v>7</v>
          </cell>
          <cell r="O264">
            <v>7</v>
          </cell>
          <cell r="P264">
            <v>222.91311350000001</v>
          </cell>
          <cell r="Q264">
            <v>1560.3917939999999</v>
          </cell>
          <cell r="R264"/>
          <cell r="S264" t="str">
            <v>Grocery</v>
          </cell>
          <cell r="T264" t="str">
            <v>Chocolate</v>
          </cell>
          <cell r="U264" t="str">
            <v>Grocery</v>
          </cell>
          <cell r="V264" t="str">
            <v>Excellent</v>
          </cell>
          <cell r="W264" t="str">
            <v>Excellent</v>
          </cell>
          <cell r="X264" t="str">
            <v>Standard</v>
          </cell>
          <cell r="Y264">
            <v>5</v>
          </cell>
          <cell r="Z264">
            <v>5</v>
          </cell>
        </row>
        <row r="265">
          <cell r="A265">
            <v>2124439</v>
          </cell>
          <cell r="B265">
            <v>74812</v>
          </cell>
          <cell r="C265" t="str">
            <v>David Johnson</v>
          </cell>
          <cell r="D265" t="str">
            <v>Portsmouth</v>
          </cell>
          <cell r="E265" t="str">
            <v>England</v>
          </cell>
          <cell r="F265" t="str">
            <v>UK</v>
          </cell>
          <cell r="G265">
            <v>61</v>
          </cell>
          <cell r="H265">
            <v>61</v>
          </cell>
          <cell r="I265" t="str">
            <v>Male</v>
          </cell>
          <cell r="J265" t="str">
            <v>Male</v>
          </cell>
          <cell r="K265" t="str">
            <v>Low</v>
          </cell>
          <cell r="L265" t="str">
            <v>Regular</v>
          </cell>
          <cell r="M265">
            <v>45252</v>
          </cell>
          <cell r="N265">
            <v>6</v>
          </cell>
          <cell r="O265">
            <v>6</v>
          </cell>
          <cell r="P265">
            <v>13.7230279</v>
          </cell>
          <cell r="Q265">
            <v>82.338167369999994</v>
          </cell>
          <cell r="R265" t="str">
            <v>Home Decor</v>
          </cell>
          <cell r="S265" t="str">
            <v>Home Decor</v>
          </cell>
          <cell r="T265" t="str">
            <v>Decorations</v>
          </cell>
          <cell r="U265" t="str">
            <v>Home Decor</v>
          </cell>
          <cell r="V265" t="str">
            <v>Average</v>
          </cell>
          <cell r="W265" t="str">
            <v>Average</v>
          </cell>
          <cell r="X265" t="str">
            <v>Same-Day</v>
          </cell>
          <cell r="Y265">
            <v>2</v>
          </cell>
          <cell r="Z265">
            <v>2</v>
          </cell>
        </row>
        <row r="266">
          <cell r="A266">
            <v>6146438</v>
          </cell>
          <cell r="B266">
            <v>84556</v>
          </cell>
          <cell r="C266" t="str">
            <v>Rebecca Alvarado</v>
          </cell>
          <cell r="D266" t="str">
            <v>Portsmouth</v>
          </cell>
          <cell r="E266" t="str">
            <v>England</v>
          </cell>
          <cell r="F266" t="str">
            <v>UK</v>
          </cell>
          <cell r="G266">
            <v>40</v>
          </cell>
          <cell r="H266">
            <v>40</v>
          </cell>
          <cell r="I266" t="str">
            <v>Male</v>
          </cell>
          <cell r="J266" t="str">
            <v>Male</v>
          </cell>
          <cell r="K266" t="str">
            <v>Medium</v>
          </cell>
          <cell r="L266" t="str">
            <v>Regular</v>
          </cell>
          <cell r="M266">
            <v>45249</v>
          </cell>
          <cell r="N266">
            <v>1</v>
          </cell>
          <cell r="O266">
            <v>1</v>
          </cell>
          <cell r="P266">
            <v>357.67803709999998</v>
          </cell>
          <cell r="Q266">
            <v>357.67803709999998</v>
          </cell>
          <cell r="R266" t="str">
            <v>Grocery</v>
          </cell>
          <cell r="S266" t="str">
            <v>Grocery</v>
          </cell>
          <cell r="T266" t="str">
            <v>Water</v>
          </cell>
          <cell r="U266" t="str">
            <v>Grocery</v>
          </cell>
          <cell r="V266" t="str">
            <v>Excellent</v>
          </cell>
          <cell r="W266" t="str">
            <v>Excellent</v>
          </cell>
          <cell r="X266" t="str">
            <v>Standard</v>
          </cell>
          <cell r="Y266">
            <v>5</v>
          </cell>
          <cell r="Z266">
            <v>5</v>
          </cell>
        </row>
        <row r="267">
          <cell r="A267">
            <v>2635116</v>
          </cell>
          <cell r="B267">
            <v>91124</v>
          </cell>
          <cell r="C267" t="str">
            <v>Allen Calderon</v>
          </cell>
          <cell r="D267" t="str">
            <v>Portsmouth</v>
          </cell>
          <cell r="E267" t="str">
            <v>England</v>
          </cell>
          <cell r="F267" t="str">
            <v>UK</v>
          </cell>
          <cell r="G267">
            <v>33</v>
          </cell>
          <cell r="H267">
            <v>33</v>
          </cell>
          <cell r="I267" t="str">
            <v>Male</v>
          </cell>
          <cell r="J267" t="str">
            <v>Male</v>
          </cell>
          <cell r="K267" t="str">
            <v>High</v>
          </cell>
          <cell r="L267" t="str">
            <v>Regular</v>
          </cell>
          <cell r="M267">
            <v>45011</v>
          </cell>
          <cell r="N267">
            <v>2</v>
          </cell>
          <cell r="O267">
            <v>2</v>
          </cell>
          <cell r="P267">
            <v>451.44629209999999</v>
          </cell>
          <cell r="Q267">
            <v>902.89258419999999</v>
          </cell>
          <cell r="R267" t="str">
            <v>Clothing</v>
          </cell>
          <cell r="S267" t="str">
            <v>Clothing</v>
          </cell>
          <cell r="T267" t="str">
            <v>Shoes</v>
          </cell>
          <cell r="U267" t="str">
            <v>Clothing</v>
          </cell>
          <cell r="V267" t="str">
            <v>Good</v>
          </cell>
          <cell r="W267" t="str">
            <v>Good</v>
          </cell>
          <cell r="X267" t="str">
            <v>Same-Day</v>
          </cell>
          <cell r="Y267">
            <v>4</v>
          </cell>
          <cell r="Z267">
            <v>4</v>
          </cell>
        </row>
        <row r="268">
          <cell r="A268">
            <v>5212805</v>
          </cell>
          <cell r="B268">
            <v>13082</v>
          </cell>
          <cell r="C268" t="str">
            <v>Daniel Patel</v>
          </cell>
          <cell r="D268" t="str">
            <v>Portsmouth</v>
          </cell>
          <cell r="E268" t="str">
            <v>England</v>
          </cell>
          <cell r="F268" t="str">
            <v>UK</v>
          </cell>
          <cell r="G268">
            <v>37</v>
          </cell>
          <cell r="H268">
            <v>37</v>
          </cell>
          <cell r="I268" t="str">
            <v>Male</v>
          </cell>
          <cell r="J268" t="str">
            <v>Male</v>
          </cell>
          <cell r="K268" t="str">
            <v>High</v>
          </cell>
          <cell r="L268" t="str">
            <v>Regular</v>
          </cell>
          <cell r="M268">
            <v>45337</v>
          </cell>
          <cell r="N268">
            <v>8</v>
          </cell>
          <cell r="O268">
            <v>8</v>
          </cell>
          <cell r="P268">
            <v>31.565014959999999</v>
          </cell>
          <cell r="Q268">
            <v>252.52011959999999</v>
          </cell>
          <cell r="R268" t="str">
            <v>Books</v>
          </cell>
          <cell r="S268" t="str">
            <v>Books</v>
          </cell>
          <cell r="T268" t="str">
            <v>Literature</v>
          </cell>
          <cell r="U268" t="str">
            <v>Books</v>
          </cell>
          <cell r="V268" t="str">
            <v>Average</v>
          </cell>
          <cell r="W268" t="str">
            <v>Average</v>
          </cell>
          <cell r="X268" t="str">
            <v>Standard</v>
          </cell>
          <cell r="Y268">
            <v>2</v>
          </cell>
          <cell r="Z268">
            <v>2</v>
          </cell>
        </row>
        <row r="269">
          <cell r="A269">
            <v>4958322</v>
          </cell>
          <cell r="B269">
            <v>29178</v>
          </cell>
          <cell r="C269" t="str">
            <v>Robert Barnes</v>
          </cell>
          <cell r="D269" t="str">
            <v>Portsmouth</v>
          </cell>
          <cell r="E269" t="str">
            <v>England</v>
          </cell>
          <cell r="F269" t="str">
            <v>UK</v>
          </cell>
          <cell r="G269">
            <v>52</v>
          </cell>
          <cell r="H269">
            <v>52</v>
          </cell>
          <cell r="I269" t="str">
            <v>Male</v>
          </cell>
          <cell r="J269" t="str">
            <v>Male</v>
          </cell>
          <cell r="K269" t="str">
            <v>Medium</v>
          </cell>
          <cell r="L269" t="str">
            <v>Regular</v>
          </cell>
          <cell r="M269">
            <v>45171</v>
          </cell>
          <cell r="N269">
            <v>1</v>
          </cell>
          <cell r="O269">
            <v>1</v>
          </cell>
          <cell r="P269">
            <v>447.5789312</v>
          </cell>
          <cell r="Q269">
            <v>447.5789312</v>
          </cell>
          <cell r="R269" t="str">
            <v>Electronics</v>
          </cell>
          <cell r="S269" t="str">
            <v>Electronics</v>
          </cell>
          <cell r="T269" t="str">
            <v>Headphones</v>
          </cell>
          <cell r="U269" t="str">
            <v>Electronics</v>
          </cell>
          <cell r="V269" t="str">
            <v>Good</v>
          </cell>
          <cell r="W269" t="str">
            <v>Good</v>
          </cell>
          <cell r="X269" t="str">
            <v>Express</v>
          </cell>
          <cell r="Y269">
            <v>4</v>
          </cell>
          <cell r="Z269">
            <v>4</v>
          </cell>
        </row>
        <row r="270">
          <cell r="A270">
            <v>7961588</v>
          </cell>
          <cell r="B270">
            <v>68375</v>
          </cell>
          <cell r="C270" t="str">
            <v>Savannah Casey</v>
          </cell>
          <cell r="D270" t="str">
            <v>Portsmouth</v>
          </cell>
          <cell r="E270" t="str">
            <v>England</v>
          </cell>
          <cell r="F270" t="str">
            <v>UK</v>
          </cell>
          <cell r="G270">
            <v>36</v>
          </cell>
          <cell r="H270">
            <v>36</v>
          </cell>
          <cell r="I270" t="str">
            <v>Male</v>
          </cell>
          <cell r="J270" t="str">
            <v>Male</v>
          </cell>
          <cell r="K270" t="str">
            <v>Medium</v>
          </cell>
          <cell r="L270" t="str">
            <v>Regular</v>
          </cell>
          <cell r="M270">
            <v>45184</v>
          </cell>
          <cell r="N270">
            <v>3</v>
          </cell>
          <cell r="O270">
            <v>3</v>
          </cell>
          <cell r="P270">
            <v>458.1763995</v>
          </cell>
          <cell r="Q270">
            <v>1374.529198</v>
          </cell>
          <cell r="R270" t="str">
            <v>Grocery</v>
          </cell>
          <cell r="S270" t="str">
            <v>Grocery</v>
          </cell>
          <cell r="T270" t="str">
            <v>Coffee</v>
          </cell>
          <cell r="U270" t="str">
            <v>Grocery</v>
          </cell>
          <cell r="V270" t="str">
            <v>Excellent</v>
          </cell>
          <cell r="W270" t="str">
            <v>Excellent</v>
          </cell>
          <cell r="X270" t="str">
            <v>Same-Day</v>
          </cell>
          <cell r="Y270">
            <v>4</v>
          </cell>
          <cell r="Z270">
            <v>4</v>
          </cell>
        </row>
        <row r="271">
          <cell r="A271">
            <v>8966152</v>
          </cell>
          <cell r="B271">
            <v>42739</v>
          </cell>
          <cell r="C271" t="str">
            <v>Maria Miller</v>
          </cell>
          <cell r="D271" t="str">
            <v>Portsmouth</v>
          </cell>
          <cell r="E271" t="str">
            <v>England</v>
          </cell>
          <cell r="F271" t="str">
            <v>UK</v>
          </cell>
          <cell r="G271">
            <v>21</v>
          </cell>
          <cell r="H271">
            <v>21</v>
          </cell>
          <cell r="I271" t="str">
            <v>Male</v>
          </cell>
          <cell r="J271" t="str">
            <v>Male</v>
          </cell>
          <cell r="K271" t="str">
            <v>Low</v>
          </cell>
          <cell r="L271" t="str">
            <v>Regular</v>
          </cell>
          <cell r="M271">
            <v>45140</v>
          </cell>
          <cell r="N271">
            <v>10</v>
          </cell>
          <cell r="O271">
            <v>10</v>
          </cell>
          <cell r="P271">
            <v>370.5443899</v>
          </cell>
          <cell r="Q271">
            <v>3705.4438989999999</v>
          </cell>
          <cell r="R271" t="str">
            <v>Clothing</v>
          </cell>
          <cell r="S271" t="str">
            <v>Clothing</v>
          </cell>
          <cell r="T271" t="str">
            <v>Jacket</v>
          </cell>
          <cell r="U271" t="str">
            <v>Clothing</v>
          </cell>
          <cell r="V271" t="str">
            <v>Excellent</v>
          </cell>
          <cell r="W271" t="str">
            <v>Excellent</v>
          </cell>
          <cell r="X271" t="str">
            <v>Standard</v>
          </cell>
          <cell r="Y271">
            <v>5</v>
          </cell>
          <cell r="Z271">
            <v>5</v>
          </cell>
        </row>
        <row r="272">
          <cell r="A272">
            <v>7685751</v>
          </cell>
          <cell r="B272">
            <v>89187</v>
          </cell>
          <cell r="C272" t="str">
            <v>Keith Wise</v>
          </cell>
          <cell r="D272" t="str">
            <v>Portsmouth</v>
          </cell>
          <cell r="E272" t="str">
            <v>England</v>
          </cell>
          <cell r="F272" t="str">
            <v>UK</v>
          </cell>
          <cell r="G272">
            <v>28</v>
          </cell>
          <cell r="H272">
            <v>28</v>
          </cell>
          <cell r="I272" t="str">
            <v>Male</v>
          </cell>
          <cell r="J272" t="str">
            <v>Male</v>
          </cell>
          <cell r="K272" t="str">
            <v>Medium</v>
          </cell>
          <cell r="L272" t="str">
            <v>Regular</v>
          </cell>
          <cell r="M272">
            <v>45199</v>
          </cell>
          <cell r="N272">
            <v>3</v>
          </cell>
          <cell r="O272">
            <v>3</v>
          </cell>
          <cell r="P272">
            <v>43.07109758</v>
          </cell>
          <cell r="Q272">
            <v>129.21329270000001</v>
          </cell>
          <cell r="R272" t="str">
            <v>Electronics</v>
          </cell>
          <cell r="S272" t="str">
            <v>Electronics</v>
          </cell>
          <cell r="T272" t="str">
            <v>Smartphone</v>
          </cell>
          <cell r="U272" t="str">
            <v>Electronics</v>
          </cell>
          <cell r="V272" t="str">
            <v>Average</v>
          </cell>
          <cell r="W272" t="str">
            <v>Average</v>
          </cell>
          <cell r="X272" t="str">
            <v>Same-Day</v>
          </cell>
          <cell r="Y272">
            <v>2</v>
          </cell>
          <cell r="Z272">
            <v>2</v>
          </cell>
        </row>
        <row r="273">
          <cell r="A273">
            <v>1126150</v>
          </cell>
          <cell r="B273">
            <v>36687</v>
          </cell>
          <cell r="C273" t="str">
            <v>Jonathan Humphrey</v>
          </cell>
          <cell r="D273" t="str">
            <v>Portsmouth</v>
          </cell>
          <cell r="E273" t="str">
            <v>England</v>
          </cell>
          <cell r="F273" t="str">
            <v>UK</v>
          </cell>
          <cell r="G273">
            <v>58</v>
          </cell>
          <cell r="H273">
            <v>58</v>
          </cell>
          <cell r="I273" t="str">
            <v>Male</v>
          </cell>
          <cell r="J273" t="str">
            <v>Male</v>
          </cell>
          <cell r="K273" t="str">
            <v>Low</v>
          </cell>
          <cell r="L273" t="str">
            <v>Regular</v>
          </cell>
          <cell r="M273">
            <v>45080</v>
          </cell>
          <cell r="N273">
            <v>7</v>
          </cell>
          <cell r="O273">
            <v>7</v>
          </cell>
          <cell r="P273">
            <v>456.81903349999999</v>
          </cell>
          <cell r="Q273">
            <v>3197.7332350000001</v>
          </cell>
          <cell r="R273" t="str">
            <v>Home Decor</v>
          </cell>
          <cell r="S273" t="str">
            <v>Home Decor</v>
          </cell>
          <cell r="T273" t="str">
            <v>Decorations</v>
          </cell>
          <cell r="U273" t="str">
            <v>Home Decor</v>
          </cell>
          <cell r="V273" t="str">
            <v>Bad</v>
          </cell>
          <cell r="W273" t="str">
            <v>Bad</v>
          </cell>
          <cell r="X273" t="str">
            <v>Express</v>
          </cell>
          <cell r="Y273">
            <v>1</v>
          </cell>
          <cell r="Z273">
            <v>1</v>
          </cell>
        </row>
        <row r="274">
          <cell r="A274">
            <v>7267435</v>
          </cell>
          <cell r="B274">
            <v>24363</v>
          </cell>
          <cell r="C274" t="str">
            <v>Jennifer Crawford</v>
          </cell>
          <cell r="D274" t="str">
            <v>Portsmouth</v>
          </cell>
          <cell r="E274" t="str">
            <v>England</v>
          </cell>
          <cell r="F274" t="str">
            <v>UK</v>
          </cell>
          <cell r="G274">
            <v>21</v>
          </cell>
          <cell r="H274">
            <v>21</v>
          </cell>
          <cell r="I274" t="str">
            <v>Male</v>
          </cell>
          <cell r="J274" t="str">
            <v>Male</v>
          </cell>
          <cell r="K274" t="str">
            <v>Low</v>
          </cell>
          <cell r="L274" t="str">
            <v>Regular</v>
          </cell>
          <cell r="M274">
            <v>45337</v>
          </cell>
          <cell r="N274">
            <v>10</v>
          </cell>
          <cell r="O274">
            <v>10</v>
          </cell>
          <cell r="P274">
            <v>60.557969219999997</v>
          </cell>
          <cell r="Q274">
            <v>605.57969219999995</v>
          </cell>
          <cell r="R274" t="str">
            <v>Home Decor</v>
          </cell>
          <cell r="S274" t="str">
            <v>Home Decor</v>
          </cell>
          <cell r="T274" t="str">
            <v>Bedding</v>
          </cell>
          <cell r="U274" t="str">
            <v>Home Decor</v>
          </cell>
          <cell r="V274" t="str">
            <v>Good</v>
          </cell>
          <cell r="W274" t="str">
            <v>Good</v>
          </cell>
          <cell r="X274" t="str">
            <v>Express</v>
          </cell>
          <cell r="Y274">
            <v>3</v>
          </cell>
          <cell r="Z274">
            <v>3</v>
          </cell>
        </row>
        <row r="275">
          <cell r="A275">
            <v>5313296</v>
          </cell>
          <cell r="B275">
            <v>31512</v>
          </cell>
          <cell r="C275" t="str">
            <v>Natalie Melton</v>
          </cell>
          <cell r="D275" t="str">
            <v>Portsmouth</v>
          </cell>
          <cell r="E275" t="str">
            <v>England</v>
          </cell>
          <cell r="F275" t="str">
            <v>UK</v>
          </cell>
          <cell r="G275">
            <v>67</v>
          </cell>
          <cell r="H275">
            <v>67</v>
          </cell>
          <cell r="I275" t="str">
            <v>Male</v>
          </cell>
          <cell r="J275" t="str">
            <v>Male</v>
          </cell>
          <cell r="K275" t="str">
            <v>High</v>
          </cell>
          <cell r="L275" t="str">
            <v>Regular</v>
          </cell>
          <cell r="M275">
            <v>44988</v>
          </cell>
          <cell r="N275">
            <v>3</v>
          </cell>
          <cell r="O275">
            <v>3</v>
          </cell>
          <cell r="P275">
            <v>412.75704039999999</v>
          </cell>
          <cell r="Q275">
            <v>1238.271121</v>
          </cell>
          <cell r="R275" t="str">
            <v>Grocery</v>
          </cell>
          <cell r="S275" t="str">
            <v>Grocery</v>
          </cell>
          <cell r="T275" t="str">
            <v>Soft Drink</v>
          </cell>
          <cell r="U275" t="str">
            <v>Grocery</v>
          </cell>
          <cell r="V275" t="str">
            <v>Excellent</v>
          </cell>
          <cell r="W275" t="str">
            <v>Excellent</v>
          </cell>
          <cell r="X275" t="str">
            <v>Same-Day</v>
          </cell>
          <cell r="Y275">
            <v>4</v>
          </cell>
          <cell r="Z275">
            <v>4</v>
          </cell>
        </row>
        <row r="276">
          <cell r="A276">
            <v>7084758</v>
          </cell>
          <cell r="B276">
            <v>90471</v>
          </cell>
          <cell r="C276" t="str">
            <v>Ann Walker</v>
          </cell>
          <cell r="D276" t="str">
            <v>Portsmouth</v>
          </cell>
          <cell r="E276" t="str">
            <v>England</v>
          </cell>
          <cell r="F276" t="str">
            <v>UK</v>
          </cell>
          <cell r="G276">
            <v>31</v>
          </cell>
          <cell r="H276">
            <v>31</v>
          </cell>
          <cell r="I276" t="str">
            <v>Female</v>
          </cell>
          <cell r="J276" t="str">
            <v>Female</v>
          </cell>
          <cell r="K276" t="str">
            <v>Medium</v>
          </cell>
          <cell r="L276" t="str">
            <v>Regular</v>
          </cell>
          <cell r="M276">
            <v>45151</v>
          </cell>
          <cell r="N276">
            <v>2</v>
          </cell>
          <cell r="O276">
            <v>2</v>
          </cell>
          <cell r="P276">
            <v>343.06407630000001</v>
          </cell>
          <cell r="Q276">
            <v>686.12815260000002</v>
          </cell>
          <cell r="R276" t="str">
            <v>Home Decor</v>
          </cell>
          <cell r="S276" t="str">
            <v>Home Decor</v>
          </cell>
          <cell r="T276" t="str">
            <v>Tools</v>
          </cell>
          <cell r="U276" t="str">
            <v>Home Decor</v>
          </cell>
          <cell r="V276" t="str">
            <v>Average</v>
          </cell>
          <cell r="W276" t="str">
            <v>Average</v>
          </cell>
          <cell r="X276" t="str">
            <v>Express</v>
          </cell>
          <cell r="Y276">
            <v>2</v>
          </cell>
          <cell r="Z276">
            <v>2</v>
          </cell>
        </row>
        <row r="277">
          <cell r="A277">
            <v>6179281</v>
          </cell>
          <cell r="B277">
            <v>96361</v>
          </cell>
          <cell r="C277" t="str">
            <v>Taylor Wright</v>
          </cell>
          <cell r="D277" t="str">
            <v>Portsmouth</v>
          </cell>
          <cell r="E277" t="str">
            <v>England</v>
          </cell>
          <cell r="F277" t="str">
            <v>UK</v>
          </cell>
          <cell r="G277">
            <v>44</v>
          </cell>
          <cell r="H277">
            <v>44</v>
          </cell>
          <cell r="I277" t="str">
            <v>Male</v>
          </cell>
          <cell r="J277" t="str">
            <v>Male</v>
          </cell>
          <cell r="K277" t="str">
            <v>High</v>
          </cell>
          <cell r="L277" t="str">
            <v>Regular</v>
          </cell>
          <cell r="M277">
            <v>44996</v>
          </cell>
          <cell r="N277">
            <v>10</v>
          </cell>
          <cell r="O277">
            <v>10</v>
          </cell>
          <cell r="P277">
            <v>338.04505130000001</v>
          </cell>
          <cell r="Q277">
            <v>3380.4505129999998</v>
          </cell>
          <cell r="R277" t="str">
            <v>Electronics</v>
          </cell>
          <cell r="S277" t="str">
            <v>Electronics</v>
          </cell>
          <cell r="T277" t="str">
            <v>Tablet</v>
          </cell>
          <cell r="U277" t="str">
            <v>Electronics</v>
          </cell>
          <cell r="V277" t="str">
            <v>Good</v>
          </cell>
          <cell r="W277" t="str">
            <v>Good</v>
          </cell>
          <cell r="X277" t="str">
            <v>Express</v>
          </cell>
          <cell r="Y277">
            <v>3</v>
          </cell>
          <cell r="Z277">
            <v>3</v>
          </cell>
        </row>
        <row r="278">
          <cell r="A278">
            <v>2000637</v>
          </cell>
          <cell r="B278">
            <v>78399</v>
          </cell>
          <cell r="C278" t="str">
            <v>Linda Barnett</v>
          </cell>
          <cell r="D278" t="str">
            <v>Portsmouth</v>
          </cell>
          <cell r="E278" t="str">
            <v>England</v>
          </cell>
          <cell r="F278" t="str">
            <v>UK</v>
          </cell>
          <cell r="G278">
            <v>53</v>
          </cell>
          <cell r="H278">
            <v>53</v>
          </cell>
          <cell r="I278" t="str">
            <v>Female</v>
          </cell>
          <cell r="J278" t="str">
            <v>Female</v>
          </cell>
          <cell r="K278" t="str">
            <v>Low</v>
          </cell>
          <cell r="L278" t="str">
            <v>Regular</v>
          </cell>
          <cell r="M278">
            <v>45268</v>
          </cell>
          <cell r="N278">
            <v>2</v>
          </cell>
          <cell r="O278">
            <v>2</v>
          </cell>
          <cell r="P278">
            <v>122.3768951</v>
          </cell>
          <cell r="Q278">
            <v>244.7537902</v>
          </cell>
          <cell r="R278" t="str">
            <v>Home Decor</v>
          </cell>
          <cell r="S278" t="str">
            <v>Home Decor</v>
          </cell>
          <cell r="T278" t="str">
            <v>Kitchen</v>
          </cell>
          <cell r="U278" t="str">
            <v>Home Decor</v>
          </cell>
          <cell r="V278" t="str">
            <v>Average</v>
          </cell>
          <cell r="W278" t="str">
            <v>Average</v>
          </cell>
          <cell r="X278" t="str">
            <v>Express</v>
          </cell>
          <cell r="Y278">
            <v>2</v>
          </cell>
          <cell r="Z278">
            <v>2</v>
          </cell>
        </row>
        <row r="279">
          <cell r="A279">
            <v>2766292</v>
          </cell>
          <cell r="B279">
            <v>15015</v>
          </cell>
          <cell r="C279" t="str">
            <v>Evan Henderson</v>
          </cell>
          <cell r="D279" t="str">
            <v>Portsmouth</v>
          </cell>
          <cell r="E279" t="str">
            <v>England</v>
          </cell>
          <cell r="F279" t="str">
            <v>UK</v>
          </cell>
          <cell r="G279">
            <v>60</v>
          </cell>
          <cell r="H279">
            <v>60</v>
          </cell>
          <cell r="I279" t="str">
            <v>Male</v>
          </cell>
          <cell r="J279" t="str">
            <v>Male</v>
          </cell>
          <cell r="K279" t="str">
            <v>Low</v>
          </cell>
          <cell r="L279" t="str">
            <v>Regular</v>
          </cell>
          <cell r="M279">
            <v>45024</v>
          </cell>
          <cell r="N279">
            <v>4</v>
          </cell>
          <cell r="O279">
            <v>4</v>
          </cell>
          <cell r="P279">
            <v>279.34411590000002</v>
          </cell>
          <cell r="Q279">
            <v>1117.3764639999999</v>
          </cell>
          <cell r="R279" t="str">
            <v>Clothing</v>
          </cell>
          <cell r="S279" t="str">
            <v>Clothing</v>
          </cell>
          <cell r="T279" t="str">
            <v>Shirt</v>
          </cell>
          <cell r="U279" t="str">
            <v>Clothing</v>
          </cell>
          <cell r="V279" t="str">
            <v>Average</v>
          </cell>
          <cell r="W279" t="str">
            <v>Average</v>
          </cell>
          <cell r="X279" t="str">
            <v>Express</v>
          </cell>
          <cell r="Y279">
            <v>2</v>
          </cell>
          <cell r="Z279">
            <v>2</v>
          </cell>
        </row>
        <row r="280">
          <cell r="A280">
            <v>2053180</v>
          </cell>
          <cell r="B280">
            <v>23951</v>
          </cell>
          <cell r="C280" t="str">
            <v>Lisa Flores</v>
          </cell>
          <cell r="D280" t="str">
            <v>Portsmouth</v>
          </cell>
          <cell r="E280" t="str">
            <v>England</v>
          </cell>
          <cell r="F280" t="str">
            <v>UK</v>
          </cell>
          <cell r="G280">
            <v>28</v>
          </cell>
          <cell r="H280">
            <v>28</v>
          </cell>
          <cell r="I280" t="str">
            <v>Male</v>
          </cell>
          <cell r="J280" t="str">
            <v>Male</v>
          </cell>
          <cell r="K280" t="str">
            <v>Medium</v>
          </cell>
          <cell r="L280" t="str">
            <v>Regular</v>
          </cell>
          <cell r="M280">
            <v>45283</v>
          </cell>
          <cell r="N280">
            <v>6</v>
          </cell>
          <cell r="O280">
            <v>6</v>
          </cell>
          <cell r="P280">
            <v>404.85325949999998</v>
          </cell>
          <cell r="Q280">
            <v>2429.119557</v>
          </cell>
          <cell r="R280" t="str">
            <v>Home Decor</v>
          </cell>
          <cell r="S280" t="str">
            <v>Home Decor</v>
          </cell>
          <cell r="T280" t="str">
            <v>Tools</v>
          </cell>
          <cell r="U280" t="str">
            <v>Home Decor</v>
          </cell>
          <cell r="V280" t="str">
            <v>Excellent</v>
          </cell>
          <cell r="W280" t="str">
            <v>Excellent</v>
          </cell>
          <cell r="X280" t="str">
            <v>Same-Day</v>
          </cell>
          <cell r="Y280">
            <v>4</v>
          </cell>
          <cell r="Z280">
            <v>4</v>
          </cell>
        </row>
        <row r="281">
          <cell r="A281">
            <v>7242747</v>
          </cell>
          <cell r="B281">
            <v>73394</v>
          </cell>
          <cell r="C281" t="str">
            <v>Vickie Myers</v>
          </cell>
          <cell r="D281" t="str">
            <v>Portsmouth</v>
          </cell>
          <cell r="E281" t="str">
            <v>England</v>
          </cell>
          <cell r="F281" t="str">
            <v>UK</v>
          </cell>
          <cell r="G281">
            <v>28</v>
          </cell>
          <cell r="H281">
            <v>28</v>
          </cell>
          <cell r="I281" t="str">
            <v>Male</v>
          </cell>
          <cell r="J281" t="str">
            <v>Male</v>
          </cell>
          <cell r="K281" t="str">
            <v>Medium</v>
          </cell>
          <cell r="L281" t="str">
            <v>Regular</v>
          </cell>
          <cell r="M281">
            <v>45118</v>
          </cell>
          <cell r="N281">
            <v>9</v>
          </cell>
          <cell r="O281">
            <v>9</v>
          </cell>
          <cell r="P281">
            <v>441.43599929999999</v>
          </cell>
          <cell r="Q281">
            <v>3972.9239940000002</v>
          </cell>
          <cell r="R281" t="str">
            <v>Books</v>
          </cell>
          <cell r="S281" t="str">
            <v>Books</v>
          </cell>
          <cell r="T281" t="str">
            <v>Thriller</v>
          </cell>
          <cell r="U281" t="str">
            <v>Books</v>
          </cell>
          <cell r="V281" t="str">
            <v>Average</v>
          </cell>
          <cell r="W281" t="str">
            <v>Average</v>
          </cell>
          <cell r="X281" t="str">
            <v>Standard</v>
          </cell>
          <cell r="Y281">
            <v>2</v>
          </cell>
          <cell r="Z281">
            <v>2</v>
          </cell>
        </row>
        <row r="282">
          <cell r="A282">
            <v>2038772</v>
          </cell>
          <cell r="B282">
            <v>98991</v>
          </cell>
          <cell r="C282" t="str">
            <v>Connie Murphy</v>
          </cell>
          <cell r="D282" t="str">
            <v>Portsmouth</v>
          </cell>
          <cell r="E282" t="str">
            <v>England</v>
          </cell>
          <cell r="F282" t="str">
            <v>UK</v>
          </cell>
          <cell r="G282">
            <v>26</v>
          </cell>
          <cell r="H282">
            <v>26</v>
          </cell>
          <cell r="I282" t="str">
            <v>Male</v>
          </cell>
          <cell r="J282" t="str">
            <v>Male</v>
          </cell>
          <cell r="K282" t="str">
            <v>Low</v>
          </cell>
          <cell r="L282" t="str">
            <v>Regular</v>
          </cell>
          <cell r="M282">
            <v>45065</v>
          </cell>
          <cell r="N282">
            <v>2</v>
          </cell>
          <cell r="O282">
            <v>2</v>
          </cell>
          <cell r="P282">
            <v>299.5818458</v>
          </cell>
          <cell r="Q282">
            <v>599.16369150000003</v>
          </cell>
          <cell r="R282" t="str">
            <v>Grocery</v>
          </cell>
          <cell r="S282" t="str">
            <v>Grocery</v>
          </cell>
          <cell r="T282" t="str">
            <v>Water</v>
          </cell>
          <cell r="U282" t="str">
            <v>Grocery</v>
          </cell>
          <cell r="V282" t="str">
            <v>Average</v>
          </cell>
          <cell r="W282" t="str">
            <v>Average</v>
          </cell>
          <cell r="X282" t="str">
            <v>Standard</v>
          </cell>
          <cell r="Y282">
            <v>2</v>
          </cell>
          <cell r="Z282">
            <v>2</v>
          </cell>
        </row>
        <row r="283">
          <cell r="A283">
            <v>7872156</v>
          </cell>
          <cell r="B283">
            <v>74342</v>
          </cell>
          <cell r="C283" t="str">
            <v>Alyssa Mitchell</v>
          </cell>
          <cell r="D283" t="str">
            <v>Portsmouth</v>
          </cell>
          <cell r="E283" t="str">
            <v>England</v>
          </cell>
          <cell r="F283" t="str">
            <v>UK</v>
          </cell>
          <cell r="G283">
            <v>20</v>
          </cell>
          <cell r="H283">
            <v>20</v>
          </cell>
          <cell r="I283" t="str">
            <v>Male</v>
          </cell>
          <cell r="J283" t="str">
            <v>Male</v>
          </cell>
          <cell r="K283" t="str">
            <v>Medium</v>
          </cell>
          <cell r="L283" t="str">
            <v>Regular</v>
          </cell>
          <cell r="M283">
            <v>45015</v>
          </cell>
          <cell r="N283">
            <v>2</v>
          </cell>
          <cell r="O283">
            <v>2</v>
          </cell>
          <cell r="P283">
            <v>340.90927799999997</v>
          </cell>
          <cell r="Q283">
            <v>681.81855610000002</v>
          </cell>
          <cell r="R283" t="str">
            <v>Home Decor</v>
          </cell>
          <cell r="S283" t="str">
            <v>Home Decor</v>
          </cell>
          <cell r="T283" t="str">
            <v>Decorations</v>
          </cell>
          <cell r="U283" t="str">
            <v>Home Decor</v>
          </cell>
          <cell r="V283" t="str">
            <v>Excellent</v>
          </cell>
          <cell r="W283" t="str">
            <v>Excellent</v>
          </cell>
          <cell r="X283" t="str">
            <v>Standard</v>
          </cell>
          <cell r="Y283">
            <v>5</v>
          </cell>
          <cell r="Z283">
            <v>5</v>
          </cell>
        </row>
        <row r="284">
          <cell r="A284">
            <v>7204003</v>
          </cell>
          <cell r="B284">
            <v>48869</v>
          </cell>
          <cell r="C284" t="str">
            <v>Lisa Tucker</v>
          </cell>
          <cell r="D284" t="str">
            <v>Portsmouth</v>
          </cell>
          <cell r="E284" t="str">
            <v>England</v>
          </cell>
          <cell r="F284" t="str">
            <v>UK</v>
          </cell>
          <cell r="G284">
            <v>55</v>
          </cell>
          <cell r="H284">
            <v>55</v>
          </cell>
          <cell r="I284" t="str">
            <v>Male</v>
          </cell>
          <cell r="J284" t="str">
            <v>Male</v>
          </cell>
          <cell r="K284" t="str">
            <v>High</v>
          </cell>
          <cell r="L284" t="str">
            <v>Regular</v>
          </cell>
          <cell r="M284">
            <v>45337</v>
          </cell>
          <cell r="N284">
            <v>7</v>
          </cell>
          <cell r="O284">
            <v>7</v>
          </cell>
          <cell r="P284">
            <v>352.12903540000002</v>
          </cell>
          <cell r="Q284">
            <v>2464.9032480000001</v>
          </cell>
          <cell r="R284" t="str">
            <v>Books</v>
          </cell>
          <cell r="S284" t="str">
            <v>Books</v>
          </cell>
          <cell r="T284" t="str">
            <v>Non-Fiction</v>
          </cell>
          <cell r="U284" t="str">
            <v>Books</v>
          </cell>
          <cell r="V284" t="str">
            <v>Good</v>
          </cell>
          <cell r="W284" t="str">
            <v>Good</v>
          </cell>
          <cell r="X284" t="str">
            <v>Express</v>
          </cell>
          <cell r="Y284">
            <v>4</v>
          </cell>
          <cell r="Z284">
            <v>4</v>
          </cell>
        </row>
        <row r="285">
          <cell r="A285">
            <v>1515461</v>
          </cell>
          <cell r="B285">
            <v>90915</v>
          </cell>
          <cell r="C285" t="str">
            <v>Nancy Mcintyre</v>
          </cell>
          <cell r="D285" t="str">
            <v>Portsmouth</v>
          </cell>
          <cell r="E285" t="str">
            <v>England</v>
          </cell>
          <cell r="F285" t="str">
            <v>UK</v>
          </cell>
          <cell r="G285">
            <v>44</v>
          </cell>
          <cell r="H285">
            <v>44</v>
          </cell>
          <cell r="I285" t="str">
            <v>Male</v>
          </cell>
          <cell r="J285" t="str">
            <v>Male</v>
          </cell>
          <cell r="K285" t="str">
            <v>Medium</v>
          </cell>
          <cell r="L285" t="str">
            <v>Regular</v>
          </cell>
          <cell r="M285">
            <v>45056</v>
          </cell>
          <cell r="N285">
            <v>6</v>
          </cell>
          <cell r="O285">
            <v>6</v>
          </cell>
          <cell r="P285">
            <v>309.843999</v>
          </cell>
          <cell r="Q285">
            <v>1859.0639940000001</v>
          </cell>
          <cell r="R285" t="str">
            <v>Electronics</v>
          </cell>
          <cell r="S285" t="str">
            <v>Electronics</v>
          </cell>
          <cell r="T285" t="str">
            <v>Tablet</v>
          </cell>
          <cell r="U285" t="str">
            <v>Electronics</v>
          </cell>
          <cell r="V285" t="str">
            <v>Bad</v>
          </cell>
          <cell r="W285" t="str">
            <v>Bad</v>
          </cell>
          <cell r="X285" t="str">
            <v>Standard</v>
          </cell>
          <cell r="Y285">
            <v>1</v>
          </cell>
          <cell r="Z285">
            <v>1</v>
          </cell>
        </row>
        <row r="286">
          <cell r="A286">
            <v>6856042</v>
          </cell>
          <cell r="B286">
            <v>97487</v>
          </cell>
          <cell r="C286" t="str">
            <v>Joshua Brown</v>
          </cell>
          <cell r="D286" t="str">
            <v>Portsmouth</v>
          </cell>
          <cell r="E286" t="str">
            <v>England</v>
          </cell>
          <cell r="F286" t="str">
            <v>UK</v>
          </cell>
          <cell r="G286">
            <v>36</v>
          </cell>
          <cell r="H286">
            <v>36</v>
          </cell>
          <cell r="I286" t="str">
            <v>Male</v>
          </cell>
          <cell r="J286" t="str">
            <v>Male</v>
          </cell>
          <cell r="K286" t="str">
            <v>Low</v>
          </cell>
          <cell r="L286" t="str">
            <v>Regular</v>
          </cell>
          <cell r="M286">
            <v>45105</v>
          </cell>
          <cell r="N286">
            <v>3</v>
          </cell>
          <cell r="O286">
            <v>3</v>
          </cell>
          <cell r="P286">
            <v>472.62645850000001</v>
          </cell>
          <cell r="Q286">
            <v>1417.8793760000001</v>
          </cell>
          <cell r="R286" t="str">
            <v>Grocery</v>
          </cell>
          <cell r="S286" t="str">
            <v>Grocery</v>
          </cell>
          <cell r="T286" t="str">
            <v>Water</v>
          </cell>
          <cell r="U286" t="str">
            <v>Grocery</v>
          </cell>
          <cell r="V286" t="str">
            <v>Good</v>
          </cell>
          <cell r="W286" t="str">
            <v>Good</v>
          </cell>
          <cell r="X286" t="str">
            <v>Same-Day</v>
          </cell>
          <cell r="Y286">
            <v>3</v>
          </cell>
          <cell r="Z286">
            <v>3</v>
          </cell>
        </row>
        <row r="287">
          <cell r="A287">
            <v>1719847</v>
          </cell>
          <cell r="B287">
            <v>47017</v>
          </cell>
          <cell r="C287" t="str">
            <v>Mark Carter</v>
          </cell>
          <cell r="D287" t="str">
            <v>Portsmouth</v>
          </cell>
          <cell r="E287" t="str">
            <v>England</v>
          </cell>
          <cell r="F287" t="str">
            <v>UK</v>
          </cell>
          <cell r="G287">
            <v>38</v>
          </cell>
          <cell r="H287">
            <v>38</v>
          </cell>
          <cell r="I287" t="str">
            <v>Male</v>
          </cell>
          <cell r="J287" t="str">
            <v>Male</v>
          </cell>
          <cell r="K287" t="str">
            <v>Medium</v>
          </cell>
          <cell r="L287" t="str">
            <v>Regular</v>
          </cell>
          <cell r="M287">
            <v>45187</v>
          </cell>
          <cell r="N287">
            <v>5</v>
          </cell>
          <cell r="O287">
            <v>5</v>
          </cell>
          <cell r="P287">
            <v>471.317362</v>
          </cell>
          <cell r="Q287">
            <v>2356.5868099999998</v>
          </cell>
          <cell r="R287" t="str">
            <v>Grocery</v>
          </cell>
          <cell r="S287" t="str">
            <v>Grocery</v>
          </cell>
          <cell r="T287" t="str">
            <v>Water</v>
          </cell>
          <cell r="U287" t="str">
            <v>Grocery</v>
          </cell>
          <cell r="V287" t="str">
            <v>Excellent</v>
          </cell>
          <cell r="W287" t="str">
            <v>Excellent</v>
          </cell>
          <cell r="X287" t="str">
            <v>Standard</v>
          </cell>
          <cell r="Y287">
            <v>5</v>
          </cell>
          <cell r="Z287">
            <v>5</v>
          </cell>
        </row>
        <row r="288">
          <cell r="A288">
            <v>7872782</v>
          </cell>
          <cell r="B288">
            <v>85089</v>
          </cell>
          <cell r="C288" t="str">
            <v>Charles Willis</v>
          </cell>
          <cell r="D288" t="str">
            <v>Portsmouth</v>
          </cell>
          <cell r="E288" t="str">
            <v>England</v>
          </cell>
          <cell r="F288" t="str">
            <v>UK</v>
          </cell>
          <cell r="G288">
            <v>54</v>
          </cell>
          <cell r="H288">
            <v>54</v>
          </cell>
          <cell r="I288" t="str">
            <v>Male</v>
          </cell>
          <cell r="J288" t="str">
            <v>Male</v>
          </cell>
          <cell r="K288" t="str">
            <v>Medium</v>
          </cell>
          <cell r="L288" t="str">
            <v>Regular</v>
          </cell>
          <cell r="M288">
            <v>45176</v>
          </cell>
          <cell r="N288">
            <v>4</v>
          </cell>
          <cell r="O288">
            <v>4</v>
          </cell>
          <cell r="P288">
            <v>444.90035189999998</v>
          </cell>
          <cell r="Q288">
            <v>1779.601408</v>
          </cell>
          <cell r="R288" t="str">
            <v>Electronics</v>
          </cell>
          <cell r="S288" t="str">
            <v>Electronics</v>
          </cell>
          <cell r="T288" t="str">
            <v>Laptop</v>
          </cell>
          <cell r="U288" t="str">
            <v>Electronics</v>
          </cell>
          <cell r="V288" t="str">
            <v>Good</v>
          </cell>
          <cell r="W288" t="str">
            <v>Good</v>
          </cell>
          <cell r="X288" t="str">
            <v>Standard</v>
          </cell>
          <cell r="Y288">
            <v>3</v>
          </cell>
          <cell r="Z288">
            <v>3</v>
          </cell>
        </row>
        <row r="289">
          <cell r="A289">
            <v>1886587</v>
          </cell>
          <cell r="B289">
            <v>93886</v>
          </cell>
          <cell r="C289" t="str">
            <v>Shannon Sparks</v>
          </cell>
          <cell r="D289" t="str">
            <v>Portsmouth</v>
          </cell>
          <cell r="E289" t="str">
            <v>England</v>
          </cell>
          <cell r="F289" t="str">
            <v>UK</v>
          </cell>
          <cell r="G289">
            <v>43</v>
          </cell>
          <cell r="H289">
            <v>43</v>
          </cell>
          <cell r="I289" t="str">
            <v>Female</v>
          </cell>
          <cell r="J289" t="str">
            <v>Female</v>
          </cell>
          <cell r="K289" t="str">
            <v>Low</v>
          </cell>
          <cell r="L289" t="str">
            <v>Regular</v>
          </cell>
          <cell r="M289">
            <v>45081</v>
          </cell>
          <cell r="N289">
            <v>3</v>
          </cell>
          <cell r="O289">
            <v>3</v>
          </cell>
          <cell r="P289">
            <v>250.21699050000001</v>
          </cell>
          <cell r="Q289">
            <v>750.65097149999997</v>
          </cell>
          <cell r="R289" t="str">
            <v>Books</v>
          </cell>
          <cell r="S289" t="str">
            <v>Books</v>
          </cell>
          <cell r="T289" t="str">
            <v>Non-Fiction</v>
          </cell>
          <cell r="U289" t="str">
            <v>Books</v>
          </cell>
          <cell r="V289" t="str">
            <v>Excellent</v>
          </cell>
          <cell r="W289" t="str">
            <v>Excellent</v>
          </cell>
          <cell r="X289" t="str">
            <v>Same-Day</v>
          </cell>
          <cell r="Y289">
            <v>4</v>
          </cell>
          <cell r="Z289">
            <v>4</v>
          </cell>
        </row>
        <row r="290">
          <cell r="A290">
            <v>4205944</v>
          </cell>
          <cell r="B290">
            <v>82024</v>
          </cell>
          <cell r="C290" t="str">
            <v>David Rowe</v>
          </cell>
          <cell r="D290" t="str">
            <v>Portsmouth</v>
          </cell>
          <cell r="E290" t="str">
            <v>England</v>
          </cell>
          <cell r="F290" t="str">
            <v>UK</v>
          </cell>
          <cell r="G290">
            <v>48</v>
          </cell>
          <cell r="H290">
            <v>48</v>
          </cell>
          <cell r="I290" t="str">
            <v>Female</v>
          </cell>
          <cell r="J290" t="str">
            <v>Female</v>
          </cell>
          <cell r="K290" t="str">
            <v>Low</v>
          </cell>
          <cell r="L290" t="str">
            <v>Regular</v>
          </cell>
          <cell r="M290">
            <v>45124</v>
          </cell>
          <cell r="N290">
            <v>6</v>
          </cell>
          <cell r="O290">
            <v>6</v>
          </cell>
          <cell r="P290">
            <v>281.47719510000002</v>
          </cell>
          <cell r="Q290">
            <v>1688.8631700000001</v>
          </cell>
          <cell r="R290" t="str">
            <v>Grocery</v>
          </cell>
          <cell r="S290" t="str">
            <v>Grocery</v>
          </cell>
          <cell r="T290" t="str">
            <v>Juice</v>
          </cell>
          <cell r="U290" t="str">
            <v>Grocery</v>
          </cell>
          <cell r="V290" t="str">
            <v>Average</v>
          </cell>
          <cell r="W290" t="str">
            <v>Average</v>
          </cell>
          <cell r="X290" t="str">
            <v>Same-Day</v>
          </cell>
          <cell r="Y290">
            <v>2</v>
          </cell>
          <cell r="Z290">
            <v>2</v>
          </cell>
        </row>
        <row r="291">
          <cell r="A291">
            <v>3258024</v>
          </cell>
          <cell r="B291">
            <v>92619</v>
          </cell>
          <cell r="C291" t="str">
            <v>Alex Medina</v>
          </cell>
          <cell r="D291" t="str">
            <v>Portsmouth</v>
          </cell>
          <cell r="E291" t="str">
            <v>England</v>
          </cell>
          <cell r="F291" t="str">
            <v>UK</v>
          </cell>
          <cell r="G291">
            <v>67</v>
          </cell>
          <cell r="H291">
            <v>67</v>
          </cell>
          <cell r="I291" t="str">
            <v>Male</v>
          </cell>
          <cell r="J291" t="str">
            <v>Male</v>
          </cell>
          <cell r="K291" t="str">
            <v>High</v>
          </cell>
          <cell r="L291" t="str">
            <v>Regular</v>
          </cell>
          <cell r="M291">
            <v>45171</v>
          </cell>
          <cell r="N291">
            <v>5</v>
          </cell>
          <cell r="O291">
            <v>5</v>
          </cell>
          <cell r="P291">
            <v>311.07746689999999</v>
          </cell>
          <cell r="Q291">
            <v>1555.387334</v>
          </cell>
          <cell r="R291" t="str">
            <v>Clothing</v>
          </cell>
          <cell r="S291" t="str">
            <v>Clothing</v>
          </cell>
          <cell r="T291" t="str">
            <v>Jacket</v>
          </cell>
          <cell r="U291" t="str">
            <v>Clothing</v>
          </cell>
          <cell r="V291" t="str">
            <v>Good</v>
          </cell>
          <cell r="W291" t="str">
            <v>Good</v>
          </cell>
          <cell r="X291" t="str">
            <v>Same-Day</v>
          </cell>
          <cell r="Y291">
            <v>3</v>
          </cell>
          <cell r="Z291">
            <v>3</v>
          </cell>
        </row>
        <row r="292">
          <cell r="A292">
            <v>4199333</v>
          </cell>
          <cell r="B292">
            <v>61101</v>
          </cell>
          <cell r="C292" t="str">
            <v>Gregory Wagner</v>
          </cell>
          <cell r="D292" t="str">
            <v>Portsmouth</v>
          </cell>
          <cell r="E292" t="str">
            <v>England</v>
          </cell>
          <cell r="F292" t="str">
            <v>UK</v>
          </cell>
          <cell r="G292">
            <v>60</v>
          </cell>
          <cell r="H292">
            <v>60</v>
          </cell>
          <cell r="I292" t="str">
            <v>Male</v>
          </cell>
          <cell r="J292" t="str">
            <v>Male</v>
          </cell>
          <cell r="K292" t="str">
            <v>Medium</v>
          </cell>
          <cell r="L292" t="str">
            <v>Regular</v>
          </cell>
          <cell r="M292">
            <v>45322</v>
          </cell>
          <cell r="N292">
            <v>9</v>
          </cell>
          <cell r="O292">
            <v>9</v>
          </cell>
          <cell r="P292">
            <v>427.04043259999997</v>
          </cell>
          <cell r="Q292">
            <v>3843.3638940000001</v>
          </cell>
          <cell r="R292" t="str">
            <v>Electronics</v>
          </cell>
          <cell r="S292" t="str">
            <v>Electronics</v>
          </cell>
          <cell r="T292" t="str">
            <v>Television</v>
          </cell>
          <cell r="U292" t="str">
            <v>Electronics</v>
          </cell>
          <cell r="V292" t="str">
            <v>Excellent</v>
          </cell>
          <cell r="W292" t="str">
            <v>Excellent</v>
          </cell>
          <cell r="X292" t="str">
            <v>Same-Day</v>
          </cell>
          <cell r="Y292">
            <v>5</v>
          </cell>
          <cell r="Z292">
            <v>5</v>
          </cell>
        </row>
        <row r="293">
          <cell r="A293">
            <v>7029596</v>
          </cell>
          <cell r="B293">
            <v>21798</v>
          </cell>
          <cell r="C293" t="str">
            <v>Cynthia Mckenzie</v>
          </cell>
          <cell r="D293" t="str">
            <v>Portsmouth</v>
          </cell>
          <cell r="E293" t="str">
            <v>England</v>
          </cell>
          <cell r="F293" t="str">
            <v>UK</v>
          </cell>
          <cell r="G293">
            <v>53</v>
          </cell>
          <cell r="H293">
            <v>53</v>
          </cell>
          <cell r="I293" t="str">
            <v>Female</v>
          </cell>
          <cell r="J293" t="str">
            <v>Female</v>
          </cell>
          <cell r="K293" t="str">
            <v>Medium</v>
          </cell>
          <cell r="L293" t="str">
            <v>Regular</v>
          </cell>
          <cell r="M293">
            <v>45165</v>
          </cell>
          <cell r="N293">
            <v>5</v>
          </cell>
          <cell r="O293">
            <v>5</v>
          </cell>
          <cell r="P293">
            <v>206.0890612</v>
          </cell>
          <cell r="Q293">
            <v>1030.4453060000001</v>
          </cell>
          <cell r="R293" t="str">
            <v>Home Decor</v>
          </cell>
          <cell r="S293" t="str">
            <v>Home Decor</v>
          </cell>
          <cell r="T293" t="str">
            <v>Bedding</v>
          </cell>
          <cell r="U293" t="str">
            <v>Home Decor</v>
          </cell>
          <cell r="V293" t="str">
            <v>Bad</v>
          </cell>
          <cell r="W293" t="str">
            <v>Bad</v>
          </cell>
          <cell r="X293" t="str">
            <v>Express</v>
          </cell>
          <cell r="Y293">
            <v>1</v>
          </cell>
          <cell r="Z293">
            <v>1</v>
          </cell>
        </row>
        <row r="294">
          <cell r="A294">
            <v>8209743</v>
          </cell>
          <cell r="B294">
            <v>16615</v>
          </cell>
          <cell r="C294" t="str">
            <v>Janet Gordon</v>
          </cell>
          <cell r="D294" t="str">
            <v>Portsmouth</v>
          </cell>
          <cell r="E294" t="str">
            <v>England</v>
          </cell>
          <cell r="F294" t="str">
            <v>UK</v>
          </cell>
          <cell r="G294">
            <v>41</v>
          </cell>
          <cell r="H294">
            <v>41</v>
          </cell>
          <cell r="I294" t="str">
            <v>Male</v>
          </cell>
          <cell r="J294" t="str">
            <v>Male</v>
          </cell>
          <cell r="K294" t="str">
            <v>High</v>
          </cell>
          <cell r="L294" t="str">
            <v>Regular</v>
          </cell>
          <cell r="M294">
            <v>45176</v>
          </cell>
          <cell r="N294">
            <v>6</v>
          </cell>
          <cell r="O294">
            <v>6</v>
          </cell>
          <cell r="P294">
            <v>22.74176786</v>
          </cell>
          <cell r="Q294">
            <v>136.45060710000001</v>
          </cell>
          <cell r="R294" t="str">
            <v>Electronics</v>
          </cell>
          <cell r="S294" t="str">
            <v>Electronics</v>
          </cell>
          <cell r="T294" t="str">
            <v>Smartphone</v>
          </cell>
          <cell r="U294" t="str">
            <v>Electronics</v>
          </cell>
          <cell r="V294" t="str">
            <v>Good</v>
          </cell>
          <cell r="W294" t="str">
            <v>Good</v>
          </cell>
          <cell r="X294" t="str">
            <v>Express</v>
          </cell>
          <cell r="Y294">
            <v>3</v>
          </cell>
          <cell r="Z294">
            <v>3</v>
          </cell>
        </row>
        <row r="295">
          <cell r="A295">
            <v>3565493</v>
          </cell>
          <cell r="B295">
            <v>16049</v>
          </cell>
          <cell r="C295" t="str">
            <v>Elizabeth Clark</v>
          </cell>
          <cell r="D295" t="str">
            <v>Portsmouth</v>
          </cell>
          <cell r="E295" t="str">
            <v>England</v>
          </cell>
          <cell r="F295" t="str">
            <v>UK</v>
          </cell>
          <cell r="G295">
            <v>20</v>
          </cell>
          <cell r="H295">
            <v>20</v>
          </cell>
          <cell r="I295" t="str">
            <v>Male</v>
          </cell>
          <cell r="J295" t="str">
            <v>Male</v>
          </cell>
          <cell r="K295" t="str">
            <v>Medium</v>
          </cell>
          <cell r="L295" t="str">
            <v>Regular</v>
          </cell>
          <cell r="M295">
            <v>45239</v>
          </cell>
          <cell r="N295">
            <v>1</v>
          </cell>
          <cell r="O295">
            <v>1</v>
          </cell>
          <cell r="P295">
            <v>250.69217990000001</v>
          </cell>
          <cell r="Q295">
            <v>250.69217990000001</v>
          </cell>
          <cell r="R295" t="str">
            <v>Clothing</v>
          </cell>
          <cell r="S295" t="str">
            <v>Clothing</v>
          </cell>
          <cell r="T295" t="str">
            <v>T-shirt</v>
          </cell>
          <cell r="U295" t="str">
            <v>Clothing</v>
          </cell>
          <cell r="V295" t="str">
            <v>Average</v>
          </cell>
          <cell r="W295" t="str">
            <v>Average</v>
          </cell>
          <cell r="X295" t="str">
            <v>Same-Day</v>
          </cell>
          <cell r="Y295">
            <v>2</v>
          </cell>
          <cell r="Z295">
            <v>2</v>
          </cell>
        </row>
        <row r="296">
          <cell r="A296">
            <v>5471383</v>
          </cell>
          <cell r="B296">
            <v>52839</v>
          </cell>
          <cell r="C296" t="str">
            <v>Jerry Burns</v>
          </cell>
          <cell r="D296" t="str">
            <v>Portsmouth</v>
          </cell>
          <cell r="E296" t="str">
            <v>England</v>
          </cell>
          <cell r="F296" t="str">
            <v>UK</v>
          </cell>
          <cell r="G296">
            <v>46</v>
          </cell>
          <cell r="H296">
            <v>46</v>
          </cell>
          <cell r="I296" t="str">
            <v>Male</v>
          </cell>
          <cell r="J296" t="str">
            <v>Male</v>
          </cell>
          <cell r="K296" t="str">
            <v>Low</v>
          </cell>
          <cell r="L296" t="str">
            <v>Regular</v>
          </cell>
          <cell r="M296">
            <v>45087</v>
          </cell>
          <cell r="N296">
            <v>9</v>
          </cell>
          <cell r="O296">
            <v>9</v>
          </cell>
          <cell r="P296">
            <v>28.56114123</v>
          </cell>
          <cell r="Q296">
            <v>257.05027109999997</v>
          </cell>
          <cell r="R296" t="str">
            <v>Books</v>
          </cell>
          <cell r="S296" t="str">
            <v>Books</v>
          </cell>
          <cell r="T296" t="str">
            <v>Non-Fiction</v>
          </cell>
          <cell r="U296" t="str">
            <v>Books</v>
          </cell>
          <cell r="V296" t="str">
            <v>Good</v>
          </cell>
          <cell r="W296" t="str">
            <v>Good</v>
          </cell>
          <cell r="X296" t="str">
            <v>Standard</v>
          </cell>
          <cell r="Y296">
            <v>3</v>
          </cell>
          <cell r="Z296">
            <v>3</v>
          </cell>
        </row>
        <row r="297">
          <cell r="A297">
            <v>7430587</v>
          </cell>
          <cell r="B297">
            <v>55940</v>
          </cell>
          <cell r="C297" t="str">
            <v>Theresa Harvey</v>
          </cell>
          <cell r="D297" t="str">
            <v>Portsmouth</v>
          </cell>
          <cell r="E297" t="str">
            <v>England</v>
          </cell>
          <cell r="F297" t="str">
            <v>UK</v>
          </cell>
          <cell r="G297">
            <v>32</v>
          </cell>
          <cell r="H297">
            <v>32</v>
          </cell>
          <cell r="I297" t="str">
            <v>Male</v>
          </cell>
          <cell r="J297" t="str">
            <v>Male</v>
          </cell>
          <cell r="K297" t="str">
            <v>Low</v>
          </cell>
          <cell r="L297" t="str">
            <v>Regular</v>
          </cell>
          <cell r="M297">
            <v>45275</v>
          </cell>
          <cell r="N297">
            <v>3</v>
          </cell>
          <cell r="O297">
            <v>3</v>
          </cell>
          <cell r="P297">
            <v>32.297409180000002</v>
          </cell>
          <cell r="Q297">
            <v>96.892227539999993</v>
          </cell>
          <cell r="R297" t="str">
            <v>Home Decor</v>
          </cell>
          <cell r="S297" t="str">
            <v>Home Decor</v>
          </cell>
          <cell r="T297" t="str">
            <v>Bathroom</v>
          </cell>
          <cell r="U297" t="str">
            <v>Home Decor</v>
          </cell>
          <cell r="V297" t="str">
            <v>Bad</v>
          </cell>
          <cell r="W297" t="str">
            <v>Bad</v>
          </cell>
          <cell r="X297" t="str">
            <v>Standard</v>
          </cell>
          <cell r="Y297">
            <v>1</v>
          </cell>
          <cell r="Z297">
            <v>1</v>
          </cell>
        </row>
        <row r="298">
          <cell r="A298">
            <v>5067613</v>
          </cell>
          <cell r="B298">
            <v>35446</v>
          </cell>
          <cell r="C298" t="str">
            <v>Pamela Campbell</v>
          </cell>
          <cell r="D298" t="str">
            <v>Portsmouth</v>
          </cell>
          <cell r="E298" t="str">
            <v>England</v>
          </cell>
          <cell r="F298" t="str">
            <v>UK</v>
          </cell>
          <cell r="G298">
            <v>48</v>
          </cell>
          <cell r="H298">
            <v>48</v>
          </cell>
          <cell r="I298" t="str">
            <v>Male</v>
          </cell>
          <cell r="J298" t="str">
            <v>Male</v>
          </cell>
          <cell r="K298" t="str">
            <v>Medium</v>
          </cell>
          <cell r="L298" t="str">
            <v>Regular</v>
          </cell>
          <cell r="M298">
            <v>45125</v>
          </cell>
          <cell r="N298">
            <v>1</v>
          </cell>
          <cell r="O298">
            <v>1</v>
          </cell>
          <cell r="P298">
            <v>61.888757779999999</v>
          </cell>
          <cell r="Q298">
            <v>61.888757779999999</v>
          </cell>
          <cell r="R298" t="str">
            <v>Electronics</v>
          </cell>
          <cell r="S298" t="str">
            <v>Electronics</v>
          </cell>
          <cell r="T298" t="str">
            <v>Headphones</v>
          </cell>
          <cell r="U298" t="str">
            <v>Electronics</v>
          </cell>
          <cell r="V298" t="str">
            <v>Good</v>
          </cell>
          <cell r="W298" t="str">
            <v>Good</v>
          </cell>
          <cell r="X298" t="str">
            <v>Standard</v>
          </cell>
          <cell r="Y298">
            <v>4</v>
          </cell>
          <cell r="Z298">
            <v>4</v>
          </cell>
        </row>
        <row r="299">
          <cell r="A299">
            <v>1803037</v>
          </cell>
          <cell r="B299">
            <v>69500</v>
          </cell>
          <cell r="C299" t="str">
            <v>Brian Ortiz</v>
          </cell>
          <cell r="D299" t="str">
            <v>Portsmouth</v>
          </cell>
          <cell r="E299" t="str">
            <v>England</v>
          </cell>
          <cell r="F299" t="str">
            <v>UK</v>
          </cell>
          <cell r="G299">
            <v>61</v>
          </cell>
          <cell r="H299">
            <v>61</v>
          </cell>
          <cell r="I299" t="str">
            <v>Male</v>
          </cell>
          <cell r="J299" t="str">
            <v>Male</v>
          </cell>
          <cell r="K299" t="str">
            <v>Low</v>
          </cell>
          <cell r="L299" t="str">
            <v>Regular</v>
          </cell>
          <cell r="M299">
            <v>45000</v>
          </cell>
          <cell r="N299">
            <v>1</v>
          </cell>
          <cell r="O299">
            <v>1</v>
          </cell>
          <cell r="P299">
            <v>195.64080580000001</v>
          </cell>
          <cell r="Q299">
            <v>195.64080580000001</v>
          </cell>
          <cell r="R299" t="str">
            <v>Books</v>
          </cell>
          <cell r="S299" t="str">
            <v>Books</v>
          </cell>
          <cell r="T299" t="str">
            <v>Fiction</v>
          </cell>
          <cell r="U299" t="str">
            <v>Books</v>
          </cell>
          <cell r="V299" t="str">
            <v>Bad</v>
          </cell>
          <cell r="W299" t="str">
            <v>Bad</v>
          </cell>
          <cell r="X299" t="str">
            <v>Standard</v>
          </cell>
          <cell r="Y299">
            <v>1</v>
          </cell>
          <cell r="Z299">
            <v>1</v>
          </cell>
        </row>
        <row r="300">
          <cell r="A300">
            <v>9871668</v>
          </cell>
          <cell r="B300">
            <v>28591</v>
          </cell>
          <cell r="C300" t="str">
            <v>Theresa Diaz</v>
          </cell>
          <cell r="D300" t="str">
            <v>Portsmouth</v>
          </cell>
          <cell r="E300" t="str">
            <v>England</v>
          </cell>
          <cell r="F300" t="str">
            <v>UK</v>
          </cell>
          <cell r="G300">
            <v>24</v>
          </cell>
          <cell r="H300">
            <v>24</v>
          </cell>
          <cell r="I300" t="str">
            <v>Male</v>
          </cell>
          <cell r="J300" t="str">
            <v>Male</v>
          </cell>
          <cell r="K300" t="str">
            <v>Medium</v>
          </cell>
          <cell r="L300" t="str">
            <v>Regular</v>
          </cell>
          <cell r="M300">
            <v>45034</v>
          </cell>
          <cell r="N300">
            <v>7</v>
          </cell>
          <cell r="O300">
            <v>7</v>
          </cell>
          <cell r="P300">
            <v>261.86879210000001</v>
          </cell>
          <cell r="Q300">
            <v>1833.081545</v>
          </cell>
          <cell r="R300" t="str">
            <v>Home Decor</v>
          </cell>
          <cell r="S300" t="str">
            <v>Home Decor</v>
          </cell>
          <cell r="T300" t="str">
            <v>Decorations</v>
          </cell>
          <cell r="U300" t="str">
            <v>Home Decor</v>
          </cell>
          <cell r="V300" t="str">
            <v>Good</v>
          </cell>
          <cell r="W300" t="str">
            <v>Good</v>
          </cell>
          <cell r="X300" t="str">
            <v>Same-Day</v>
          </cell>
          <cell r="Y300">
            <v>3</v>
          </cell>
          <cell r="Z300">
            <v>3</v>
          </cell>
        </row>
        <row r="301">
          <cell r="A301">
            <v>2314603</v>
          </cell>
          <cell r="B301">
            <v>34792</v>
          </cell>
          <cell r="C301" t="str">
            <v>Linda Smith</v>
          </cell>
          <cell r="D301" t="str">
            <v>Portsmouth</v>
          </cell>
          <cell r="E301" t="str">
            <v>England</v>
          </cell>
          <cell r="F301" t="str">
            <v>UK</v>
          </cell>
          <cell r="G301">
            <v>29</v>
          </cell>
          <cell r="H301">
            <v>29</v>
          </cell>
          <cell r="I301" t="str">
            <v>Male</v>
          </cell>
          <cell r="J301" t="str">
            <v>Male</v>
          </cell>
          <cell r="K301" t="str">
            <v>High</v>
          </cell>
          <cell r="L301" t="str">
            <v>Regular</v>
          </cell>
          <cell r="M301">
            <v>45274</v>
          </cell>
          <cell r="N301">
            <v>6</v>
          </cell>
          <cell r="O301">
            <v>6</v>
          </cell>
          <cell r="P301">
            <v>458.19955640000001</v>
          </cell>
          <cell r="Q301">
            <v>2749.1973379999999</v>
          </cell>
          <cell r="R301" t="str">
            <v>Clothing</v>
          </cell>
          <cell r="S301" t="str">
            <v>Clothing</v>
          </cell>
          <cell r="T301" t="str">
            <v>Jeans</v>
          </cell>
          <cell r="U301" t="str">
            <v>Clothing</v>
          </cell>
          <cell r="V301" t="str">
            <v>Average</v>
          </cell>
          <cell r="W301" t="str">
            <v>Average</v>
          </cell>
          <cell r="X301" t="str">
            <v>Express</v>
          </cell>
          <cell r="Y301">
            <v>2</v>
          </cell>
          <cell r="Z301">
            <v>2</v>
          </cell>
        </row>
        <row r="302">
          <cell r="A302">
            <v>1217487</v>
          </cell>
          <cell r="B302">
            <v>69214</v>
          </cell>
          <cell r="C302" t="str">
            <v>Carly Vega</v>
          </cell>
          <cell r="D302" t="str">
            <v>Portsmouth</v>
          </cell>
          <cell r="E302" t="str">
            <v>England</v>
          </cell>
          <cell r="F302" t="str">
            <v>UK</v>
          </cell>
          <cell r="G302">
            <v>31</v>
          </cell>
          <cell r="H302">
            <v>31</v>
          </cell>
          <cell r="I302" t="str">
            <v>Male</v>
          </cell>
          <cell r="J302" t="str">
            <v>Male</v>
          </cell>
          <cell r="K302" t="str">
            <v>Medium</v>
          </cell>
          <cell r="L302" t="str">
            <v>Regular</v>
          </cell>
          <cell r="M302">
            <v>44993</v>
          </cell>
          <cell r="N302">
            <v>6</v>
          </cell>
          <cell r="O302">
            <v>6</v>
          </cell>
          <cell r="P302">
            <v>474.79926069999999</v>
          </cell>
          <cell r="Q302">
            <v>2848.795564</v>
          </cell>
          <cell r="R302" t="str">
            <v>Clothing</v>
          </cell>
          <cell r="S302" t="str">
            <v>Clothing</v>
          </cell>
          <cell r="T302" t="str">
            <v>T-shirt</v>
          </cell>
          <cell r="U302" t="str">
            <v>Clothing</v>
          </cell>
          <cell r="V302" t="str">
            <v>Bad</v>
          </cell>
          <cell r="W302" t="str">
            <v>Bad</v>
          </cell>
          <cell r="X302" t="str">
            <v>Standard</v>
          </cell>
          <cell r="Y302">
            <v>1</v>
          </cell>
          <cell r="Z302">
            <v>1</v>
          </cell>
        </row>
        <row r="303">
          <cell r="A303">
            <v>2629939</v>
          </cell>
          <cell r="B303">
            <v>75243</v>
          </cell>
          <cell r="C303" t="str">
            <v>Susan Juarez</v>
          </cell>
          <cell r="D303" t="str">
            <v>Portsmouth</v>
          </cell>
          <cell r="E303" t="str">
            <v>England</v>
          </cell>
          <cell r="F303" t="str">
            <v>UK</v>
          </cell>
          <cell r="G303">
            <v>44</v>
          </cell>
          <cell r="H303">
            <v>44</v>
          </cell>
          <cell r="I303" t="str">
            <v>Female</v>
          </cell>
          <cell r="J303" t="str">
            <v>Female</v>
          </cell>
          <cell r="K303" t="str">
            <v>Low</v>
          </cell>
          <cell r="L303" t="str">
            <v>Regular</v>
          </cell>
          <cell r="M303">
            <v>45311</v>
          </cell>
          <cell r="N303">
            <v>7</v>
          </cell>
          <cell r="O303">
            <v>7</v>
          </cell>
          <cell r="P303">
            <v>408.91197940000001</v>
          </cell>
          <cell r="Q303">
            <v>2862.3838559999999</v>
          </cell>
          <cell r="R303" t="str">
            <v>Books</v>
          </cell>
          <cell r="S303" t="str">
            <v>Books</v>
          </cell>
          <cell r="T303" t="str">
            <v>Non-Fiction</v>
          </cell>
          <cell r="U303" t="str">
            <v>Books</v>
          </cell>
          <cell r="V303" t="str">
            <v>Excellent</v>
          </cell>
          <cell r="W303" t="str">
            <v>Excellent</v>
          </cell>
          <cell r="X303" t="str">
            <v>Express</v>
          </cell>
          <cell r="Y303">
            <v>5</v>
          </cell>
          <cell r="Z303">
            <v>5</v>
          </cell>
        </row>
        <row r="304">
          <cell r="A304">
            <v>2492168</v>
          </cell>
          <cell r="B304">
            <v>40619</v>
          </cell>
          <cell r="C304" t="str">
            <v>Robin Campbell</v>
          </cell>
          <cell r="D304" t="str">
            <v>Portsmouth</v>
          </cell>
          <cell r="E304" t="str">
            <v>England</v>
          </cell>
          <cell r="F304" t="str">
            <v>UK</v>
          </cell>
          <cell r="G304">
            <v>19</v>
          </cell>
          <cell r="H304">
            <v>19</v>
          </cell>
          <cell r="I304" t="str">
            <v>Male</v>
          </cell>
          <cell r="J304" t="str">
            <v>Male</v>
          </cell>
          <cell r="K304" t="str">
            <v>Medium</v>
          </cell>
          <cell r="L304" t="str">
            <v>Regular</v>
          </cell>
          <cell r="M304">
            <v>45236</v>
          </cell>
          <cell r="N304">
            <v>2</v>
          </cell>
          <cell r="O304">
            <v>2</v>
          </cell>
          <cell r="P304">
            <v>317.00159339999999</v>
          </cell>
          <cell r="Q304">
            <v>634.00318679999998</v>
          </cell>
          <cell r="R304" t="str">
            <v>Grocery</v>
          </cell>
          <cell r="S304" t="str">
            <v>Grocery</v>
          </cell>
          <cell r="T304" t="str">
            <v>Soft Drink</v>
          </cell>
          <cell r="U304" t="str">
            <v>Grocery</v>
          </cell>
          <cell r="V304" t="str">
            <v>Good</v>
          </cell>
          <cell r="W304" t="str">
            <v>Good</v>
          </cell>
          <cell r="X304" t="str">
            <v>Express</v>
          </cell>
          <cell r="Y304">
            <v>4</v>
          </cell>
          <cell r="Z304">
            <v>4</v>
          </cell>
        </row>
        <row r="305">
          <cell r="A305">
            <v>8574194</v>
          </cell>
          <cell r="B305">
            <v>50357</v>
          </cell>
          <cell r="C305" t="str">
            <v>Kathryn Martin</v>
          </cell>
          <cell r="D305" t="str">
            <v>Portsmouth</v>
          </cell>
          <cell r="E305" t="str">
            <v>England</v>
          </cell>
          <cell r="F305" t="str">
            <v>UK</v>
          </cell>
          <cell r="G305">
            <v>22</v>
          </cell>
          <cell r="H305">
            <v>22</v>
          </cell>
          <cell r="I305" t="str">
            <v>Male</v>
          </cell>
          <cell r="J305" t="str">
            <v>Male</v>
          </cell>
          <cell r="K305" t="str">
            <v>Low</v>
          </cell>
          <cell r="L305" t="str">
            <v>Regular</v>
          </cell>
          <cell r="M305">
            <v>45266</v>
          </cell>
          <cell r="N305">
            <v>7</v>
          </cell>
          <cell r="O305">
            <v>7</v>
          </cell>
          <cell r="P305">
            <v>99.197074529999995</v>
          </cell>
          <cell r="Q305">
            <v>694.37952170000005</v>
          </cell>
          <cell r="R305" t="str">
            <v>Books</v>
          </cell>
          <cell r="S305" t="str">
            <v>Books</v>
          </cell>
          <cell r="T305" t="str">
            <v>Children's</v>
          </cell>
          <cell r="U305" t="str">
            <v>Books</v>
          </cell>
          <cell r="V305" t="str">
            <v>Excellent</v>
          </cell>
          <cell r="W305" t="str">
            <v>Excellent</v>
          </cell>
          <cell r="X305" t="str">
            <v>Same-Day</v>
          </cell>
          <cell r="Y305">
            <v>4</v>
          </cell>
          <cell r="Z305">
            <v>4</v>
          </cell>
        </row>
        <row r="306">
          <cell r="A306">
            <v>5670981</v>
          </cell>
          <cell r="B306">
            <v>36084</v>
          </cell>
          <cell r="C306" t="str">
            <v>Heather Johnson</v>
          </cell>
          <cell r="D306" t="str">
            <v>Portsmouth</v>
          </cell>
          <cell r="E306" t="str">
            <v>England</v>
          </cell>
          <cell r="F306" t="str">
            <v>UK</v>
          </cell>
          <cell r="G306">
            <v>39</v>
          </cell>
          <cell r="H306">
            <v>39</v>
          </cell>
          <cell r="I306" t="str">
            <v>Male</v>
          </cell>
          <cell r="J306" t="str">
            <v>Male</v>
          </cell>
          <cell r="K306" t="str">
            <v>Low</v>
          </cell>
          <cell r="L306" t="str">
            <v>Regular</v>
          </cell>
          <cell r="M306">
            <v>45103</v>
          </cell>
          <cell r="N306">
            <v>9</v>
          </cell>
          <cell r="O306">
            <v>9</v>
          </cell>
          <cell r="P306">
            <v>205.52504350000001</v>
          </cell>
          <cell r="Q306">
            <v>1849.7253920000001</v>
          </cell>
          <cell r="R306" t="str">
            <v>Books</v>
          </cell>
          <cell r="S306" t="str">
            <v>Books</v>
          </cell>
          <cell r="T306" t="str">
            <v>Non-Fiction</v>
          </cell>
          <cell r="U306" t="str">
            <v>Books</v>
          </cell>
          <cell r="V306" t="str">
            <v>Bad</v>
          </cell>
          <cell r="W306" t="str">
            <v>Bad</v>
          </cell>
          <cell r="X306" t="str">
            <v>Express</v>
          </cell>
          <cell r="Y306">
            <v>1</v>
          </cell>
          <cell r="Z306">
            <v>1</v>
          </cell>
        </row>
        <row r="307">
          <cell r="A307">
            <v>4081468</v>
          </cell>
          <cell r="B307">
            <v>57471</v>
          </cell>
          <cell r="C307" t="str">
            <v>Rebecca Jones</v>
          </cell>
          <cell r="D307" t="str">
            <v>Portsmouth</v>
          </cell>
          <cell r="E307" t="str">
            <v>England</v>
          </cell>
          <cell r="F307" t="str">
            <v>UK</v>
          </cell>
          <cell r="G307">
            <v>65</v>
          </cell>
          <cell r="H307">
            <v>65</v>
          </cell>
          <cell r="I307" t="str">
            <v>Female</v>
          </cell>
          <cell r="J307" t="str">
            <v>Female</v>
          </cell>
          <cell r="K307" t="str">
            <v>High</v>
          </cell>
          <cell r="L307" t="str">
            <v>Regular</v>
          </cell>
          <cell r="M307">
            <v>45265</v>
          </cell>
          <cell r="N307">
            <v>10</v>
          </cell>
          <cell r="O307">
            <v>10</v>
          </cell>
          <cell r="P307">
            <v>142.11121399999999</v>
          </cell>
          <cell r="Q307">
            <v>1421.11214</v>
          </cell>
          <cell r="R307" t="str">
            <v>Grocery</v>
          </cell>
          <cell r="S307" t="str">
            <v>Grocery</v>
          </cell>
          <cell r="T307" t="str">
            <v>Soft Drink</v>
          </cell>
          <cell r="U307" t="str">
            <v>Grocery</v>
          </cell>
          <cell r="V307" t="str">
            <v>Average</v>
          </cell>
          <cell r="W307" t="str">
            <v>Average</v>
          </cell>
          <cell r="X307" t="str">
            <v>Standard</v>
          </cell>
          <cell r="Y307">
            <v>2</v>
          </cell>
          <cell r="Z307">
            <v>2</v>
          </cell>
        </row>
        <row r="308">
          <cell r="A308">
            <v>6925817</v>
          </cell>
          <cell r="B308">
            <v>85291</v>
          </cell>
          <cell r="C308" t="str">
            <v>Scott Porter</v>
          </cell>
          <cell r="D308" t="str">
            <v>Portsmouth</v>
          </cell>
          <cell r="E308" t="str">
            <v>England</v>
          </cell>
          <cell r="F308" t="str">
            <v>UK</v>
          </cell>
          <cell r="G308">
            <v>23</v>
          </cell>
          <cell r="H308">
            <v>23</v>
          </cell>
          <cell r="I308" t="str">
            <v>Female</v>
          </cell>
          <cell r="J308" t="str">
            <v>Female</v>
          </cell>
          <cell r="K308" t="str">
            <v>Low</v>
          </cell>
          <cell r="L308" t="str">
            <v>Regular</v>
          </cell>
          <cell r="M308">
            <v>45217</v>
          </cell>
          <cell r="N308">
            <v>6</v>
          </cell>
          <cell r="O308">
            <v>6</v>
          </cell>
          <cell r="P308">
            <v>348.00310869999998</v>
          </cell>
          <cell r="Q308">
            <v>2088.0186520000002</v>
          </cell>
          <cell r="R308" t="str">
            <v>Grocery</v>
          </cell>
          <cell r="S308" t="str">
            <v>Grocery</v>
          </cell>
          <cell r="T308" t="str">
            <v>Chocolate</v>
          </cell>
          <cell r="U308" t="str">
            <v>Grocery</v>
          </cell>
          <cell r="V308" t="str">
            <v>Excellent</v>
          </cell>
          <cell r="W308" t="str">
            <v>Excellent</v>
          </cell>
          <cell r="X308" t="str">
            <v>Same-Day</v>
          </cell>
          <cell r="Y308">
            <v>4</v>
          </cell>
          <cell r="Z308">
            <v>4</v>
          </cell>
        </row>
        <row r="309">
          <cell r="A309">
            <v>9423609</v>
          </cell>
          <cell r="B309">
            <v>16683</v>
          </cell>
          <cell r="C309" t="str">
            <v>Sara Martinez</v>
          </cell>
          <cell r="D309" t="str">
            <v>Portsmouth</v>
          </cell>
          <cell r="E309" t="str">
            <v>England</v>
          </cell>
          <cell r="F309" t="str">
            <v>UK</v>
          </cell>
          <cell r="G309">
            <v>43</v>
          </cell>
          <cell r="H309">
            <v>43</v>
          </cell>
          <cell r="I309" t="str">
            <v>Male</v>
          </cell>
          <cell r="J309" t="str">
            <v>Male</v>
          </cell>
          <cell r="K309" t="str">
            <v>Medium</v>
          </cell>
          <cell r="L309" t="str">
            <v>Regular</v>
          </cell>
          <cell r="M309">
            <v>45061</v>
          </cell>
          <cell r="N309">
            <v>1</v>
          </cell>
          <cell r="O309">
            <v>1</v>
          </cell>
          <cell r="P309">
            <v>41.750675809999997</v>
          </cell>
          <cell r="Q309">
            <v>41.750675809999997</v>
          </cell>
          <cell r="R309" t="str">
            <v>Grocery</v>
          </cell>
          <cell r="S309" t="str">
            <v>Grocery</v>
          </cell>
          <cell r="T309" t="str">
            <v>Water</v>
          </cell>
          <cell r="U309" t="str">
            <v>Grocery</v>
          </cell>
          <cell r="V309" t="str">
            <v>Average</v>
          </cell>
          <cell r="W309" t="str">
            <v>Average</v>
          </cell>
          <cell r="X309" t="str">
            <v>Express</v>
          </cell>
          <cell r="Y309">
            <v>2</v>
          </cell>
          <cell r="Z309">
            <v>2</v>
          </cell>
        </row>
        <row r="310">
          <cell r="A310">
            <v>9209702</v>
          </cell>
          <cell r="B310">
            <v>30293</v>
          </cell>
          <cell r="C310" t="str">
            <v>Kimberly Franklin</v>
          </cell>
          <cell r="D310" t="str">
            <v>Portsmouth</v>
          </cell>
          <cell r="E310" t="str">
            <v>England</v>
          </cell>
          <cell r="F310" t="str">
            <v>UK</v>
          </cell>
          <cell r="G310">
            <v>67</v>
          </cell>
          <cell r="H310">
            <v>67</v>
          </cell>
          <cell r="I310" t="str">
            <v>Male</v>
          </cell>
          <cell r="J310" t="str">
            <v>Male</v>
          </cell>
          <cell r="K310" t="str">
            <v>Medium</v>
          </cell>
          <cell r="L310" t="str">
            <v>Regular</v>
          </cell>
          <cell r="M310">
            <v>45019</v>
          </cell>
          <cell r="N310">
            <v>5</v>
          </cell>
          <cell r="O310">
            <v>5</v>
          </cell>
          <cell r="P310">
            <v>472.79834940000001</v>
          </cell>
          <cell r="Q310">
            <v>2363.991747</v>
          </cell>
          <cell r="R310" t="str">
            <v>Grocery</v>
          </cell>
          <cell r="S310" t="str">
            <v>Grocery</v>
          </cell>
          <cell r="T310" t="str">
            <v>Juice</v>
          </cell>
          <cell r="U310" t="str">
            <v>Grocery</v>
          </cell>
          <cell r="V310" t="str">
            <v>Good</v>
          </cell>
          <cell r="W310" t="str">
            <v>Good</v>
          </cell>
          <cell r="X310" t="str">
            <v>Standard</v>
          </cell>
          <cell r="Y310">
            <v>4</v>
          </cell>
          <cell r="Z310">
            <v>4</v>
          </cell>
        </row>
        <row r="311">
          <cell r="A311">
            <v>8257808</v>
          </cell>
          <cell r="B311">
            <v>99944</v>
          </cell>
          <cell r="C311" t="str">
            <v>Teresa Brown</v>
          </cell>
          <cell r="D311" t="str">
            <v>Portsmouth</v>
          </cell>
          <cell r="E311" t="str">
            <v>England</v>
          </cell>
          <cell r="F311" t="str">
            <v>UK</v>
          </cell>
          <cell r="G311">
            <v>20</v>
          </cell>
          <cell r="H311">
            <v>20</v>
          </cell>
          <cell r="I311" t="str">
            <v>Female</v>
          </cell>
          <cell r="J311" t="str">
            <v>Female</v>
          </cell>
          <cell r="K311" t="str">
            <v>Low</v>
          </cell>
          <cell r="L311" t="str">
            <v>Regular</v>
          </cell>
          <cell r="M311">
            <v>45263</v>
          </cell>
          <cell r="N311">
            <v>3</v>
          </cell>
          <cell r="O311">
            <v>3</v>
          </cell>
          <cell r="P311">
            <v>363.79397299999999</v>
          </cell>
          <cell r="Q311">
            <v>1091.3819189999999</v>
          </cell>
          <cell r="R311" t="str">
            <v>Electronics</v>
          </cell>
          <cell r="S311" t="str">
            <v>Electronics</v>
          </cell>
          <cell r="T311" t="str">
            <v>Smartphone</v>
          </cell>
          <cell r="U311" t="str">
            <v>Electronics</v>
          </cell>
          <cell r="V311" t="str">
            <v>Bad</v>
          </cell>
          <cell r="W311" t="str">
            <v>Bad</v>
          </cell>
          <cell r="X311" t="str">
            <v>Standard</v>
          </cell>
          <cell r="Y311">
            <v>1</v>
          </cell>
          <cell r="Z311">
            <v>1</v>
          </cell>
        </row>
        <row r="312">
          <cell r="A312">
            <v>2145553</v>
          </cell>
          <cell r="B312">
            <v>60481</v>
          </cell>
          <cell r="C312" t="str">
            <v>Renee Manning</v>
          </cell>
          <cell r="D312" t="str">
            <v>Portsmouth</v>
          </cell>
          <cell r="E312" t="str">
            <v>England</v>
          </cell>
          <cell r="F312" t="str">
            <v>UK</v>
          </cell>
          <cell r="G312">
            <v>43</v>
          </cell>
          <cell r="H312">
            <v>43</v>
          </cell>
          <cell r="I312" t="str">
            <v>Female</v>
          </cell>
          <cell r="J312" t="str">
            <v>Female</v>
          </cell>
          <cell r="K312" t="str">
            <v>Low</v>
          </cell>
          <cell r="L312" t="str">
            <v>Regular</v>
          </cell>
          <cell r="M312">
            <v>45011</v>
          </cell>
          <cell r="N312">
            <v>1</v>
          </cell>
          <cell r="O312">
            <v>1</v>
          </cell>
          <cell r="P312">
            <v>474.64672250000001</v>
          </cell>
          <cell r="Q312">
            <v>474.64672250000001</v>
          </cell>
          <cell r="R312" t="str">
            <v>Clothing</v>
          </cell>
          <cell r="S312" t="str">
            <v>Clothing</v>
          </cell>
          <cell r="T312" t="str">
            <v>Shoes</v>
          </cell>
          <cell r="U312" t="str">
            <v>Clothing</v>
          </cell>
          <cell r="V312" t="str">
            <v>Average</v>
          </cell>
          <cell r="W312" t="str">
            <v>Average</v>
          </cell>
          <cell r="X312" t="str">
            <v>Express</v>
          </cell>
          <cell r="Y312">
            <v>2</v>
          </cell>
          <cell r="Z312">
            <v>2</v>
          </cell>
        </row>
        <row r="313">
          <cell r="A313">
            <v>7775388</v>
          </cell>
          <cell r="B313">
            <v>91698</v>
          </cell>
          <cell r="C313" t="str">
            <v>Terry Gaines</v>
          </cell>
          <cell r="D313" t="str">
            <v>Portsmouth</v>
          </cell>
          <cell r="E313" t="str">
            <v>England</v>
          </cell>
          <cell r="F313" t="str">
            <v>UK</v>
          </cell>
          <cell r="G313">
            <v>58</v>
          </cell>
          <cell r="H313">
            <v>58</v>
          </cell>
          <cell r="I313" t="str">
            <v>Female</v>
          </cell>
          <cell r="J313" t="str">
            <v>Female</v>
          </cell>
          <cell r="K313" t="str">
            <v>Low</v>
          </cell>
          <cell r="L313" t="str">
            <v>Regular</v>
          </cell>
          <cell r="M313">
            <v>45350</v>
          </cell>
          <cell r="N313">
            <v>5</v>
          </cell>
          <cell r="O313">
            <v>5</v>
          </cell>
          <cell r="P313">
            <v>411.43555429999998</v>
          </cell>
          <cell r="Q313">
            <v>2057.1777710000001</v>
          </cell>
          <cell r="R313" t="str">
            <v>Grocery</v>
          </cell>
          <cell r="S313" t="str">
            <v>Grocery</v>
          </cell>
          <cell r="T313" t="str">
            <v>Soft Drink</v>
          </cell>
          <cell r="U313" t="str">
            <v>Grocery</v>
          </cell>
          <cell r="V313" t="str">
            <v>Bad</v>
          </cell>
          <cell r="W313" t="str">
            <v>Bad</v>
          </cell>
          <cell r="X313" t="str">
            <v>Standard</v>
          </cell>
          <cell r="Y313">
            <v>1</v>
          </cell>
          <cell r="Z313">
            <v>1</v>
          </cell>
        </row>
        <row r="314">
          <cell r="A314">
            <v>5292389</v>
          </cell>
          <cell r="B314">
            <v>44721</v>
          </cell>
          <cell r="C314" t="str">
            <v>Rebekah Marsh</v>
          </cell>
          <cell r="D314" t="str">
            <v>Portsmouth</v>
          </cell>
          <cell r="E314" t="str">
            <v>England</v>
          </cell>
          <cell r="F314" t="str">
            <v>UK</v>
          </cell>
          <cell r="G314">
            <v>36</v>
          </cell>
          <cell r="H314">
            <v>36</v>
          </cell>
          <cell r="I314" t="str">
            <v>Male</v>
          </cell>
          <cell r="J314" t="str">
            <v>Male</v>
          </cell>
          <cell r="K314" t="str">
            <v>Medium</v>
          </cell>
          <cell r="L314" t="str">
            <v>Regular</v>
          </cell>
          <cell r="M314">
            <v>45098</v>
          </cell>
          <cell r="N314">
            <v>8</v>
          </cell>
          <cell r="O314">
            <v>8</v>
          </cell>
          <cell r="P314">
            <v>378.0900805</v>
          </cell>
          <cell r="Q314">
            <v>3024.720644</v>
          </cell>
          <cell r="R314" t="str">
            <v>Clothing</v>
          </cell>
          <cell r="S314" t="str">
            <v>Clothing</v>
          </cell>
          <cell r="T314" t="str">
            <v>Jeans</v>
          </cell>
          <cell r="U314" t="str">
            <v>Clothing</v>
          </cell>
          <cell r="V314" t="str">
            <v>Excellent</v>
          </cell>
          <cell r="W314" t="str">
            <v>Excellent</v>
          </cell>
          <cell r="X314" t="str">
            <v>Standard</v>
          </cell>
          <cell r="Y314">
            <v>5</v>
          </cell>
          <cell r="Z314">
            <v>5</v>
          </cell>
        </row>
        <row r="315">
          <cell r="A315">
            <v>3270773</v>
          </cell>
          <cell r="B315">
            <v>96867</v>
          </cell>
          <cell r="C315" t="str">
            <v>Gerald Andrews</v>
          </cell>
          <cell r="D315" t="str">
            <v>Portsmouth</v>
          </cell>
          <cell r="E315" t="str">
            <v>England</v>
          </cell>
          <cell r="F315" t="str">
            <v>UK</v>
          </cell>
          <cell r="G315">
            <v>21</v>
          </cell>
          <cell r="H315">
            <v>21</v>
          </cell>
          <cell r="I315" t="str">
            <v>Female</v>
          </cell>
          <cell r="J315" t="str">
            <v>Female</v>
          </cell>
          <cell r="K315" t="str">
            <v>Medium</v>
          </cell>
          <cell r="L315" t="str">
            <v>Regular</v>
          </cell>
          <cell r="M315">
            <v>45298</v>
          </cell>
          <cell r="N315">
            <v>1</v>
          </cell>
          <cell r="O315">
            <v>1</v>
          </cell>
          <cell r="P315">
            <v>213.67942339999999</v>
          </cell>
          <cell r="Q315">
            <v>213.67942339999999</v>
          </cell>
          <cell r="R315" t="str">
            <v>Clothing</v>
          </cell>
          <cell r="S315" t="str">
            <v>Clothing</v>
          </cell>
          <cell r="T315" t="str">
            <v>Shorts</v>
          </cell>
          <cell r="U315" t="str">
            <v>Clothing</v>
          </cell>
          <cell r="V315" t="str">
            <v>Bad</v>
          </cell>
          <cell r="W315" t="str">
            <v>Bad</v>
          </cell>
          <cell r="X315" t="str">
            <v>Express</v>
          </cell>
          <cell r="Y315">
            <v>1</v>
          </cell>
          <cell r="Z315">
            <v>1</v>
          </cell>
        </row>
        <row r="316">
          <cell r="A316">
            <v>7988107</v>
          </cell>
          <cell r="B316">
            <v>82671</v>
          </cell>
          <cell r="C316" t="str">
            <v>Joshua Grimes</v>
          </cell>
          <cell r="D316" t="str">
            <v>Portsmouth</v>
          </cell>
          <cell r="E316" t="str">
            <v>England</v>
          </cell>
          <cell r="F316" t="str">
            <v>UK</v>
          </cell>
          <cell r="G316">
            <v>50</v>
          </cell>
          <cell r="H316">
            <v>50</v>
          </cell>
          <cell r="I316" t="str">
            <v>Male</v>
          </cell>
          <cell r="J316" t="str">
            <v>Male</v>
          </cell>
          <cell r="K316" t="str">
            <v>Medium</v>
          </cell>
          <cell r="L316" t="str">
            <v>Regular</v>
          </cell>
          <cell r="M316">
            <v>45328</v>
          </cell>
          <cell r="N316">
            <v>9</v>
          </cell>
          <cell r="O316">
            <v>9</v>
          </cell>
          <cell r="P316">
            <v>28.929106390000001</v>
          </cell>
          <cell r="Q316">
            <v>260.36195750000002</v>
          </cell>
          <cell r="R316" t="str">
            <v>Electronics</v>
          </cell>
          <cell r="S316" t="str">
            <v>Electronics</v>
          </cell>
          <cell r="T316" t="str">
            <v>Tablet</v>
          </cell>
          <cell r="U316" t="str">
            <v>Electronics</v>
          </cell>
          <cell r="V316" t="str">
            <v>Excellent</v>
          </cell>
          <cell r="W316" t="str">
            <v>Excellent</v>
          </cell>
          <cell r="X316" t="str">
            <v>Same-Day</v>
          </cell>
          <cell r="Y316">
            <v>4</v>
          </cell>
          <cell r="Z316">
            <v>4</v>
          </cell>
        </row>
        <row r="317">
          <cell r="A317">
            <v>5020401</v>
          </cell>
          <cell r="B317">
            <v>35547</v>
          </cell>
          <cell r="C317" t="str">
            <v>William Thomas</v>
          </cell>
          <cell r="D317" t="str">
            <v>Portsmouth</v>
          </cell>
          <cell r="E317" t="str">
            <v>England</v>
          </cell>
          <cell r="F317" t="str">
            <v>UK</v>
          </cell>
          <cell r="G317">
            <v>59</v>
          </cell>
          <cell r="H317">
            <v>59</v>
          </cell>
          <cell r="I317" t="str">
            <v>Male</v>
          </cell>
          <cell r="J317" t="str">
            <v>Male</v>
          </cell>
          <cell r="K317" t="str">
            <v>Low</v>
          </cell>
          <cell r="L317" t="str">
            <v>Regular</v>
          </cell>
          <cell r="M317">
            <v>45230</v>
          </cell>
          <cell r="N317">
            <v>5</v>
          </cell>
          <cell r="O317">
            <v>5</v>
          </cell>
          <cell r="P317">
            <v>202.71539559999999</v>
          </cell>
          <cell r="Q317">
            <v>1013.5769780000001</v>
          </cell>
          <cell r="R317" t="str">
            <v>Clothing</v>
          </cell>
          <cell r="S317" t="str">
            <v>Clothing</v>
          </cell>
          <cell r="T317" t="str">
            <v>Shorts</v>
          </cell>
          <cell r="U317" t="str">
            <v>Clothing</v>
          </cell>
          <cell r="V317" t="str">
            <v>Average</v>
          </cell>
          <cell r="W317" t="str">
            <v>Average</v>
          </cell>
          <cell r="X317" t="str">
            <v>Express</v>
          </cell>
          <cell r="Y317">
            <v>2</v>
          </cell>
          <cell r="Z317">
            <v>2</v>
          </cell>
        </row>
        <row r="318">
          <cell r="A318">
            <v>6615647</v>
          </cell>
          <cell r="B318">
            <v>50869</v>
          </cell>
          <cell r="C318" t="str">
            <v>Christina Taylor</v>
          </cell>
          <cell r="D318" t="str">
            <v>Portsmouth</v>
          </cell>
          <cell r="E318" t="str">
            <v>England</v>
          </cell>
          <cell r="F318" t="str">
            <v>UK</v>
          </cell>
          <cell r="G318">
            <v>62</v>
          </cell>
          <cell r="H318">
            <v>62</v>
          </cell>
          <cell r="I318" t="str">
            <v>Male</v>
          </cell>
          <cell r="J318" t="str">
            <v>Male</v>
          </cell>
          <cell r="K318" t="str">
            <v>Low</v>
          </cell>
          <cell r="L318" t="str">
            <v>Regular</v>
          </cell>
          <cell r="M318">
            <v>45339</v>
          </cell>
          <cell r="N318">
            <v>10</v>
          </cell>
          <cell r="O318">
            <v>10</v>
          </cell>
          <cell r="P318">
            <v>32.975938149999998</v>
          </cell>
          <cell r="Q318">
            <v>329.75938150000002</v>
          </cell>
          <cell r="R318" t="str">
            <v>Electronics</v>
          </cell>
          <cell r="S318" t="str">
            <v>Electronics</v>
          </cell>
          <cell r="T318" t="str">
            <v>Tablet</v>
          </cell>
          <cell r="U318" t="str">
            <v>Electronics</v>
          </cell>
          <cell r="V318" t="str">
            <v>Bad</v>
          </cell>
          <cell r="W318" t="str">
            <v>Bad</v>
          </cell>
          <cell r="X318" t="str">
            <v>Express</v>
          </cell>
          <cell r="Y318">
            <v>1</v>
          </cell>
          <cell r="Z318">
            <v>1</v>
          </cell>
        </row>
        <row r="319">
          <cell r="A319">
            <v>3767002</v>
          </cell>
          <cell r="B319">
            <v>66893</v>
          </cell>
          <cell r="C319" t="str">
            <v>Deanna Garrett</v>
          </cell>
          <cell r="D319" t="str">
            <v>Portsmouth</v>
          </cell>
          <cell r="E319" t="str">
            <v>England</v>
          </cell>
          <cell r="F319" t="str">
            <v>UK</v>
          </cell>
          <cell r="G319">
            <v>61</v>
          </cell>
          <cell r="H319">
            <v>61</v>
          </cell>
          <cell r="I319" t="str">
            <v>Male</v>
          </cell>
          <cell r="J319" t="str">
            <v>Male</v>
          </cell>
          <cell r="K319" t="str">
            <v>Medium</v>
          </cell>
          <cell r="L319" t="str">
            <v>Regular</v>
          </cell>
          <cell r="M319">
            <v>45201</v>
          </cell>
          <cell r="N319">
            <v>1</v>
          </cell>
          <cell r="O319">
            <v>1</v>
          </cell>
          <cell r="P319">
            <v>33.553642740000001</v>
          </cell>
          <cell r="Q319">
            <v>33.553642740000001</v>
          </cell>
          <cell r="R319" t="str">
            <v>Electronics</v>
          </cell>
          <cell r="S319" t="str">
            <v>Electronics</v>
          </cell>
          <cell r="T319" t="str">
            <v>Headphones</v>
          </cell>
          <cell r="U319" t="str">
            <v>Electronics</v>
          </cell>
          <cell r="V319" t="str">
            <v>Average</v>
          </cell>
          <cell r="W319" t="str">
            <v>Average</v>
          </cell>
          <cell r="X319" t="str">
            <v>Standard</v>
          </cell>
          <cell r="Y319">
            <v>2</v>
          </cell>
          <cell r="Z319">
            <v>2</v>
          </cell>
        </row>
        <row r="320">
          <cell r="A320">
            <v>2286430</v>
          </cell>
          <cell r="B320">
            <v>42358</v>
          </cell>
          <cell r="C320" t="str">
            <v>Melissa Williams</v>
          </cell>
          <cell r="D320" t="str">
            <v>Portsmouth</v>
          </cell>
          <cell r="E320" t="str">
            <v>England</v>
          </cell>
          <cell r="F320" t="str">
            <v>UK</v>
          </cell>
          <cell r="G320">
            <v>67</v>
          </cell>
          <cell r="H320">
            <v>67</v>
          </cell>
          <cell r="I320" t="str">
            <v>Female</v>
          </cell>
          <cell r="J320" t="str">
            <v>Female</v>
          </cell>
          <cell r="K320" t="str">
            <v>High</v>
          </cell>
          <cell r="L320" t="str">
            <v>Regular</v>
          </cell>
          <cell r="M320">
            <v>45014</v>
          </cell>
          <cell r="N320">
            <v>2</v>
          </cell>
          <cell r="O320">
            <v>2</v>
          </cell>
          <cell r="P320">
            <v>174.9739514</v>
          </cell>
          <cell r="Q320">
            <v>349.94790289999997</v>
          </cell>
          <cell r="R320" t="str">
            <v>Clothing</v>
          </cell>
          <cell r="S320" t="str">
            <v>Clothing</v>
          </cell>
          <cell r="T320" t="str">
            <v>Shorts</v>
          </cell>
          <cell r="U320" t="str">
            <v>Clothing</v>
          </cell>
          <cell r="V320" t="str">
            <v>Good</v>
          </cell>
          <cell r="W320" t="str">
            <v>Good</v>
          </cell>
          <cell r="X320" t="str">
            <v>Express</v>
          </cell>
          <cell r="Y320">
            <v>3</v>
          </cell>
          <cell r="Z320">
            <v>3</v>
          </cell>
        </row>
        <row r="321">
          <cell r="A321">
            <v>2859196</v>
          </cell>
          <cell r="B321">
            <v>73353</v>
          </cell>
          <cell r="C321" t="str">
            <v>Ryan Cook</v>
          </cell>
          <cell r="D321" t="str">
            <v>Portsmouth</v>
          </cell>
          <cell r="E321" t="str">
            <v>England</v>
          </cell>
          <cell r="F321" t="str">
            <v>UK</v>
          </cell>
          <cell r="G321">
            <v>63</v>
          </cell>
          <cell r="H321">
            <v>63</v>
          </cell>
          <cell r="I321" t="str">
            <v>Male</v>
          </cell>
          <cell r="J321" t="str">
            <v>Male</v>
          </cell>
          <cell r="K321" t="str">
            <v>Medium</v>
          </cell>
          <cell r="L321" t="str">
            <v>Regular</v>
          </cell>
          <cell r="M321">
            <v>45003</v>
          </cell>
          <cell r="N321">
            <v>10</v>
          </cell>
          <cell r="O321">
            <v>10</v>
          </cell>
          <cell r="P321">
            <v>362.62191960000001</v>
          </cell>
          <cell r="Q321">
            <v>3626.219196</v>
          </cell>
          <cell r="R321" t="str">
            <v>Clothing</v>
          </cell>
          <cell r="S321" t="str">
            <v>Clothing</v>
          </cell>
          <cell r="T321" t="str">
            <v>T-shirt</v>
          </cell>
          <cell r="U321" t="str">
            <v>Clothing</v>
          </cell>
          <cell r="V321" t="str">
            <v>Excellent</v>
          </cell>
          <cell r="W321" t="str">
            <v>Excellent</v>
          </cell>
          <cell r="X321" t="str">
            <v>Standard</v>
          </cell>
          <cell r="Y321">
            <v>4</v>
          </cell>
          <cell r="Z321">
            <v>4</v>
          </cell>
        </row>
        <row r="322">
          <cell r="A322">
            <v>4578976</v>
          </cell>
          <cell r="B322">
            <v>13610</v>
          </cell>
          <cell r="C322" t="str">
            <v>Roberta Ford</v>
          </cell>
          <cell r="D322" t="str">
            <v>Portsmouth</v>
          </cell>
          <cell r="E322" t="str">
            <v>England</v>
          </cell>
          <cell r="F322" t="str">
            <v>UK</v>
          </cell>
          <cell r="G322">
            <v>61</v>
          </cell>
          <cell r="H322">
            <v>61</v>
          </cell>
          <cell r="I322" t="str">
            <v>Male</v>
          </cell>
          <cell r="J322" t="str">
            <v>Male</v>
          </cell>
          <cell r="K322" t="str">
            <v>Low</v>
          </cell>
          <cell r="L322" t="str">
            <v>Regular</v>
          </cell>
          <cell r="M322">
            <v>45045</v>
          </cell>
          <cell r="N322">
            <v>1</v>
          </cell>
          <cell r="O322">
            <v>1</v>
          </cell>
          <cell r="P322">
            <v>145.05461199999999</v>
          </cell>
          <cell r="Q322">
            <v>145.05461199999999</v>
          </cell>
          <cell r="R322" t="str">
            <v>Books</v>
          </cell>
          <cell r="S322" t="str">
            <v>Books</v>
          </cell>
          <cell r="T322" t="str">
            <v>Non-Fiction</v>
          </cell>
          <cell r="U322" t="str">
            <v>Books</v>
          </cell>
          <cell r="V322" t="str">
            <v>Good</v>
          </cell>
          <cell r="W322" t="str">
            <v>Good</v>
          </cell>
          <cell r="X322" t="str">
            <v>Express</v>
          </cell>
          <cell r="Y322">
            <v>3</v>
          </cell>
          <cell r="Z322">
            <v>3</v>
          </cell>
        </row>
        <row r="323">
          <cell r="A323">
            <v>4052364</v>
          </cell>
          <cell r="B323">
            <v>29811</v>
          </cell>
          <cell r="C323" t="str">
            <v>Wyatt Spencer</v>
          </cell>
          <cell r="D323" t="str">
            <v>Portsmouth</v>
          </cell>
          <cell r="E323" t="str">
            <v>England</v>
          </cell>
          <cell r="F323" t="str">
            <v>UK</v>
          </cell>
          <cell r="G323">
            <v>64</v>
          </cell>
          <cell r="H323">
            <v>64</v>
          </cell>
          <cell r="I323" t="str">
            <v>Female</v>
          </cell>
          <cell r="J323" t="str">
            <v>Female</v>
          </cell>
          <cell r="K323" t="str">
            <v>Low</v>
          </cell>
          <cell r="L323" t="str">
            <v>Regular</v>
          </cell>
          <cell r="M323">
            <v>45103</v>
          </cell>
          <cell r="N323">
            <v>10</v>
          </cell>
          <cell r="O323">
            <v>10</v>
          </cell>
          <cell r="P323">
            <v>102.40322810000001</v>
          </cell>
          <cell r="Q323">
            <v>1024.032281</v>
          </cell>
          <cell r="R323" t="str">
            <v>Home Decor</v>
          </cell>
          <cell r="S323" t="str">
            <v>Home Decor</v>
          </cell>
          <cell r="T323" t="str">
            <v>Lighting</v>
          </cell>
          <cell r="U323" t="str">
            <v>Home Decor</v>
          </cell>
          <cell r="V323" t="str">
            <v>Excellent</v>
          </cell>
          <cell r="W323" t="str">
            <v>Excellent</v>
          </cell>
          <cell r="X323" t="str">
            <v>Express</v>
          </cell>
          <cell r="Y323">
            <v>4</v>
          </cell>
          <cell r="Z323">
            <v>4</v>
          </cell>
        </row>
        <row r="324">
          <cell r="A324">
            <v>8243427</v>
          </cell>
          <cell r="B324">
            <v>79548</v>
          </cell>
          <cell r="C324" t="str">
            <v>Patricia Nguyen</v>
          </cell>
          <cell r="D324" t="str">
            <v>Portsmouth</v>
          </cell>
          <cell r="E324" t="str">
            <v>England</v>
          </cell>
          <cell r="F324" t="str">
            <v>UK</v>
          </cell>
          <cell r="G324">
            <v>25</v>
          </cell>
          <cell r="H324">
            <v>25</v>
          </cell>
          <cell r="I324" t="str">
            <v>Male</v>
          </cell>
          <cell r="J324" t="str">
            <v>Male</v>
          </cell>
          <cell r="K324" t="str">
            <v>Low</v>
          </cell>
          <cell r="L324" t="str">
            <v>Regular</v>
          </cell>
          <cell r="M324">
            <v>45193</v>
          </cell>
          <cell r="N324">
            <v>2</v>
          </cell>
          <cell r="O324">
            <v>2</v>
          </cell>
          <cell r="P324">
            <v>248.97491410000001</v>
          </cell>
          <cell r="Q324">
            <v>497.94982820000001</v>
          </cell>
          <cell r="R324" t="str">
            <v>Books</v>
          </cell>
          <cell r="S324" t="str">
            <v>Books</v>
          </cell>
          <cell r="T324" t="str">
            <v>Literature</v>
          </cell>
          <cell r="U324" t="str">
            <v>Books</v>
          </cell>
          <cell r="V324" t="str">
            <v>Bad</v>
          </cell>
          <cell r="W324" t="str">
            <v>Bad</v>
          </cell>
          <cell r="X324" t="str">
            <v>Standard</v>
          </cell>
          <cell r="Y324">
            <v>1</v>
          </cell>
          <cell r="Z324">
            <v>1</v>
          </cell>
        </row>
        <row r="325">
          <cell r="A325">
            <v>3462909</v>
          </cell>
          <cell r="B325">
            <v>15597</v>
          </cell>
          <cell r="C325" t="str">
            <v>Kelly Smith</v>
          </cell>
          <cell r="D325" t="str">
            <v>Portsmouth</v>
          </cell>
          <cell r="E325" t="str">
            <v>England</v>
          </cell>
          <cell r="F325" t="str">
            <v>UK</v>
          </cell>
          <cell r="G325">
            <v>52</v>
          </cell>
          <cell r="H325">
            <v>52</v>
          </cell>
          <cell r="I325" t="str">
            <v>Female</v>
          </cell>
          <cell r="J325" t="str">
            <v>Female</v>
          </cell>
          <cell r="K325" t="str">
            <v>Medium</v>
          </cell>
          <cell r="L325" t="str">
            <v>Regular</v>
          </cell>
          <cell r="M325">
            <v>45043</v>
          </cell>
          <cell r="N325">
            <v>2</v>
          </cell>
          <cell r="O325">
            <v>2</v>
          </cell>
          <cell r="P325">
            <v>258.41882279999999</v>
          </cell>
          <cell r="Q325">
            <v>516.83764559999997</v>
          </cell>
          <cell r="R325" t="str">
            <v>Books</v>
          </cell>
          <cell r="S325" t="str">
            <v>Books</v>
          </cell>
          <cell r="T325" t="str">
            <v>Children's</v>
          </cell>
          <cell r="U325" t="str">
            <v>Books</v>
          </cell>
          <cell r="V325" t="str">
            <v>Excellent</v>
          </cell>
          <cell r="W325" t="str">
            <v>Excellent</v>
          </cell>
          <cell r="X325" t="str">
            <v>Express</v>
          </cell>
          <cell r="Y325">
            <v>5</v>
          </cell>
          <cell r="Z325">
            <v>5</v>
          </cell>
        </row>
        <row r="326">
          <cell r="A326">
            <v>7662744</v>
          </cell>
          <cell r="B326">
            <v>27115</v>
          </cell>
          <cell r="C326" t="str">
            <v>John Woods</v>
          </cell>
          <cell r="D326" t="str">
            <v>Portsmouth</v>
          </cell>
          <cell r="E326" t="str">
            <v>England</v>
          </cell>
          <cell r="F326" t="str">
            <v>UK</v>
          </cell>
          <cell r="G326">
            <v>62</v>
          </cell>
          <cell r="H326">
            <v>62</v>
          </cell>
          <cell r="I326" t="str">
            <v>Male</v>
          </cell>
          <cell r="J326" t="str">
            <v>Male</v>
          </cell>
          <cell r="K326" t="str">
            <v>Medium</v>
          </cell>
          <cell r="L326" t="str">
            <v>Regular</v>
          </cell>
          <cell r="M326">
            <v>45135</v>
          </cell>
          <cell r="N326">
            <v>5</v>
          </cell>
          <cell r="O326">
            <v>5</v>
          </cell>
          <cell r="P326">
            <v>217.30693149999999</v>
          </cell>
          <cell r="Q326">
            <v>1086.534658</v>
          </cell>
          <cell r="R326" t="str">
            <v>Electronics</v>
          </cell>
          <cell r="S326" t="str">
            <v>Electronics</v>
          </cell>
          <cell r="T326" t="str">
            <v>Tablet</v>
          </cell>
          <cell r="U326" t="str">
            <v>Electronics</v>
          </cell>
          <cell r="V326" t="str">
            <v>Excellent</v>
          </cell>
          <cell r="W326" t="str">
            <v>Excellent</v>
          </cell>
          <cell r="X326" t="str">
            <v>Same-Day</v>
          </cell>
          <cell r="Y326">
            <v>4</v>
          </cell>
          <cell r="Z326">
            <v>4</v>
          </cell>
        </row>
        <row r="327">
          <cell r="A327">
            <v>5396105</v>
          </cell>
          <cell r="B327">
            <v>73862</v>
          </cell>
          <cell r="C327" t="str">
            <v>Deanna Johnson</v>
          </cell>
          <cell r="D327" t="str">
            <v>Portsmouth</v>
          </cell>
          <cell r="E327" t="str">
            <v>England</v>
          </cell>
          <cell r="F327" t="str">
            <v>UK</v>
          </cell>
          <cell r="G327">
            <v>47</v>
          </cell>
          <cell r="H327">
            <v>47</v>
          </cell>
          <cell r="I327" t="str">
            <v>Male</v>
          </cell>
          <cell r="J327" t="str">
            <v>Male</v>
          </cell>
          <cell r="K327" t="str">
            <v>Low</v>
          </cell>
          <cell r="L327" t="str">
            <v>Regular</v>
          </cell>
          <cell r="M327">
            <v>45163</v>
          </cell>
          <cell r="N327">
            <v>6</v>
          </cell>
          <cell r="O327">
            <v>6</v>
          </cell>
          <cell r="P327">
            <v>172.5107515</v>
          </cell>
          <cell r="Q327">
            <v>1035.064509</v>
          </cell>
          <cell r="R327" t="str">
            <v>Clothing</v>
          </cell>
          <cell r="S327" t="str">
            <v>Clothing</v>
          </cell>
          <cell r="T327" t="str">
            <v>Shorts</v>
          </cell>
          <cell r="U327" t="str">
            <v>Clothing</v>
          </cell>
          <cell r="V327" t="str">
            <v>Average</v>
          </cell>
          <cell r="W327" t="str">
            <v>Average</v>
          </cell>
          <cell r="X327" t="str">
            <v>Same-Day</v>
          </cell>
          <cell r="Y327">
            <v>2</v>
          </cell>
          <cell r="Z327">
            <v>2</v>
          </cell>
        </row>
        <row r="328">
          <cell r="A328">
            <v>9904456</v>
          </cell>
          <cell r="B328">
            <v>26241</v>
          </cell>
          <cell r="C328" t="str">
            <v>Jacqueline Thompson</v>
          </cell>
          <cell r="D328" t="str">
            <v>Portsmouth</v>
          </cell>
          <cell r="E328" t="str">
            <v>England</v>
          </cell>
          <cell r="F328" t="str">
            <v>UK</v>
          </cell>
          <cell r="G328">
            <v>49</v>
          </cell>
          <cell r="H328">
            <v>49</v>
          </cell>
          <cell r="I328" t="str">
            <v>Male</v>
          </cell>
          <cell r="J328" t="str">
            <v>Male</v>
          </cell>
          <cell r="K328" t="str">
            <v>Low</v>
          </cell>
          <cell r="L328" t="str">
            <v>Regular</v>
          </cell>
          <cell r="M328">
            <v>44997</v>
          </cell>
          <cell r="N328">
            <v>7</v>
          </cell>
          <cell r="O328">
            <v>7</v>
          </cell>
          <cell r="P328">
            <v>231.9222752</v>
          </cell>
          <cell r="Q328">
            <v>1623.4559260000001</v>
          </cell>
          <cell r="R328" t="str">
            <v>Home Decor</v>
          </cell>
          <cell r="S328" t="str">
            <v>Home Decor</v>
          </cell>
          <cell r="T328" t="str">
            <v>Decorations</v>
          </cell>
          <cell r="U328" t="str">
            <v>Home Decor</v>
          </cell>
          <cell r="V328" t="str">
            <v>Good</v>
          </cell>
          <cell r="W328" t="str">
            <v>Good</v>
          </cell>
          <cell r="X328" t="str">
            <v>Same-Day</v>
          </cell>
          <cell r="Y328">
            <v>3</v>
          </cell>
          <cell r="Z328">
            <v>3</v>
          </cell>
        </row>
        <row r="329">
          <cell r="A329">
            <v>3395821</v>
          </cell>
          <cell r="B329">
            <v>62489</v>
          </cell>
          <cell r="C329" t="str">
            <v>Sarah Jenkins</v>
          </cell>
          <cell r="D329" t="str">
            <v>Portsmouth</v>
          </cell>
          <cell r="E329" t="str">
            <v>England</v>
          </cell>
          <cell r="F329" t="str">
            <v>UK</v>
          </cell>
          <cell r="G329">
            <v>69</v>
          </cell>
          <cell r="H329">
            <v>69</v>
          </cell>
          <cell r="I329" t="str">
            <v>Male</v>
          </cell>
          <cell r="J329" t="str">
            <v>Male</v>
          </cell>
          <cell r="K329" t="str">
            <v>Medium</v>
          </cell>
          <cell r="L329" t="str">
            <v>Regular</v>
          </cell>
          <cell r="M329">
            <v>45000</v>
          </cell>
          <cell r="N329">
            <v>1</v>
          </cell>
          <cell r="O329">
            <v>1</v>
          </cell>
          <cell r="P329">
            <v>437.05755219999998</v>
          </cell>
          <cell r="Q329">
            <v>437.05755219999998</v>
          </cell>
          <cell r="R329" t="str">
            <v>Electronics</v>
          </cell>
          <cell r="S329" t="str">
            <v>Electronics</v>
          </cell>
          <cell r="T329" t="str">
            <v>Television</v>
          </cell>
          <cell r="U329" t="str">
            <v>Electronics</v>
          </cell>
          <cell r="V329" t="str">
            <v>Bad</v>
          </cell>
          <cell r="W329" t="str">
            <v>Bad</v>
          </cell>
          <cell r="X329" t="str">
            <v>Same-Day</v>
          </cell>
          <cell r="Y329">
            <v>1</v>
          </cell>
          <cell r="Z329">
            <v>1</v>
          </cell>
        </row>
        <row r="330">
          <cell r="A330">
            <v>5816644</v>
          </cell>
          <cell r="B330">
            <v>38393</v>
          </cell>
          <cell r="C330" t="str">
            <v>Mario Sparks</v>
          </cell>
          <cell r="D330" t="str">
            <v>Portsmouth</v>
          </cell>
          <cell r="E330" t="str">
            <v>England</v>
          </cell>
          <cell r="F330" t="str">
            <v>UK</v>
          </cell>
          <cell r="G330">
            <v>49</v>
          </cell>
          <cell r="H330">
            <v>49</v>
          </cell>
          <cell r="I330" t="str">
            <v>Male</v>
          </cell>
          <cell r="J330" t="str">
            <v>Male</v>
          </cell>
          <cell r="K330" t="str">
            <v>Medium</v>
          </cell>
          <cell r="L330" t="str">
            <v>Regular</v>
          </cell>
          <cell r="M330">
            <v>45059</v>
          </cell>
          <cell r="N330">
            <v>9</v>
          </cell>
          <cell r="O330">
            <v>9</v>
          </cell>
          <cell r="P330">
            <v>403.83737309999998</v>
          </cell>
          <cell r="Q330">
            <v>3634.5363579999998</v>
          </cell>
          <cell r="R330" t="str">
            <v>Books</v>
          </cell>
          <cell r="S330" t="str">
            <v>Books</v>
          </cell>
          <cell r="T330" t="str">
            <v>Fiction</v>
          </cell>
          <cell r="U330" t="str">
            <v>Books</v>
          </cell>
          <cell r="V330" t="str">
            <v>Bad</v>
          </cell>
          <cell r="W330" t="str">
            <v>Bad</v>
          </cell>
          <cell r="X330" t="str">
            <v>Express</v>
          </cell>
          <cell r="Y330">
            <v>1</v>
          </cell>
          <cell r="Z330">
            <v>1</v>
          </cell>
        </row>
        <row r="331">
          <cell r="A331">
            <v>3410438</v>
          </cell>
          <cell r="B331">
            <v>14771</v>
          </cell>
          <cell r="C331" t="str">
            <v>Jennifer Rogers</v>
          </cell>
          <cell r="D331" t="str">
            <v>Portsmouth</v>
          </cell>
          <cell r="E331" t="str">
            <v>England</v>
          </cell>
          <cell r="F331" t="str">
            <v>UK</v>
          </cell>
          <cell r="G331">
            <v>21</v>
          </cell>
          <cell r="H331">
            <v>21</v>
          </cell>
          <cell r="I331" t="str">
            <v>Male</v>
          </cell>
          <cell r="J331" t="str">
            <v>Male</v>
          </cell>
          <cell r="K331" t="str">
            <v>Medium</v>
          </cell>
          <cell r="L331" t="str">
            <v>Regular</v>
          </cell>
          <cell r="M331">
            <v>45039</v>
          </cell>
          <cell r="N331">
            <v>8</v>
          </cell>
          <cell r="O331">
            <v>8</v>
          </cell>
          <cell r="P331">
            <v>362.15563429999997</v>
          </cell>
          <cell r="Q331">
            <v>2897.2450739999999</v>
          </cell>
          <cell r="R331" t="str">
            <v>Clothing</v>
          </cell>
          <cell r="S331" t="str">
            <v>Clothing</v>
          </cell>
          <cell r="T331" t="str">
            <v>Shirt</v>
          </cell>
          <cell r="U331" t="str">
            <v>Clothing</v>
          </cell>
          <cell r="V331" t="str">
            <v>Bad</v>
          </cell>
          <cell r="W331" t="str">
            <v>Bad</v>
          </cell>
          <cell r="X331" t="str">
            <v>Same-Day</v>
          </cell>
          <cell r="Y331">
            <v>1</v>
          </cell>
          <cell r="Z331">
            <v>1</v>
          </cell>
        </row>
        <row r="332">
          <cell r="A332">
            <v>5004469</v>
          </cell>
          <cell r="B332">
            <v>89926</v>
          </cell>
          <cell r="C332" t="str">
            <v>Javier Wright</v>
          </cell>
          <cell r="D332" t="str">
            <v>Portsmouth</v>
          </cell>
          <cell r="E332" t="str">
            <v>England</v>
          </cell>
          <cell r="F332" t="str">
            <v>UK</v>
          </cell>
          <cell r="G332">
            <v>70</v>
          </cell>
          <cell r="H332">
            <v>70</v>
          </cell>
          <cell r="I332" t="str">
            <v>Female</v>
          </cell>
          <cell r="J332" t="str">
            <v>Female</v>
          </cell>
          <cell r="K332" t="str">
            <v>Low</v>
          </cell>
          <cell r="L332" t="str">
            <v>Regular</v>
          </cell>
          <cell r="M332">
            <v>45168</v>
          </cell>
          <cell r="N332">
            <v>6</v>
          </cell>
          <cell r="O332">
            <v>6</v>
          </cell>
          <cell r="P332">
            <v>127.0050918</v>
          </cell>
          <cell r="Q332">
            <v>762.03055089999998</v>
          </cell>
          <cell r="R332" t="str">
            <v>Grocery</v>
          </cell>
          <cell r="S332" t="str">
            <v>Grocery</v>
          </cell>
          <cell r="T332" t="str">
            <v>Juice</v>
          </cell>
          <cell r="U332" t="str">
            <v>Grocery</v>
          </cell>
          <cell r="V332" t="str">
            <v>Excellent</v>
          </cell>
          <cell r="W332" t="str">
            <v>Excellent</v>
          </cell>
          <cell r="X332" t="str">
            <v>Express</v>
          </cell>
          <cell r="Y332">
            <v>4</v>
          </cell>
          <cell r="Z332">
            <v>4</v>
          </cell>
        </row>
        <row r="333">
          <cell r="A333">
            <v>8084246</v>
          </cell>
          <cell r="B333">
            <v>93000</v>
          </cell>
          <cell r="C333" t="str">
            <v>Justin Martin</v>
          </cell>
          <cell r="D333" t="str">
            <v>Portsmouth</v>
          </cell>
          <cell r="E333" t="str">
            <v>England</v>
          </cell>
          <cell r="F333" t="str">
            <v>UK</v>
          </cell>
          <cell r="G333">
            <v>22</v>
          </cell>
          <cell r="H333">
            <v>22</v>
          </cell>
          <cell r="I333" t="str">
            <v>Female</v>
          </cell>
          <cell r="J333" t="str">
            <v>Female</v>
          </cell>
          <cell r="K333" t="str">
            <v>Low</v>
          </cell>
          <cell r="L333" t="str">
            <v>Regular</v>
          </cell>
          <cell r="M333">
            <v>45126</v>
          </cell>
          <cell r="N333">
            <v>7</v>
          </cell>
          <cell r="O333">
            <v>7</v>
          </cell>
          <cell r="P333">
            <v>363.7069252</v>
          </cell>
          <cell r="Q333">
            <v>2545.9484769999999</v>
          </cell>
          <cell r="R333" t="str">
            <v>Books</v>
          </cell>
          <cell r="S333" t="str">
            <v>Books</v>
          </cell>
          <cell r="T333" t="str">
            <v>Fiction</v>
          </cell>
          <cell r="U333" t="str">
            <v>Books</v>
          </cell>
          <cell r="V333" t="str">
            <v>Bad</v>
          </cell>
          <cell r="W333" t="str">
            <v>Bad</v>
          </cell>
          <cell r="X333" t="str">
            <v>Standard</v>
          </cell>
          <cell r="Y333">
            <v>1</v>
          </cell>
          <cell r="Z333">
            <v>1</v>
          </cell>
        </row>
        <row r="334">
          <cell r="A334">
            <v>7107984</v>
          </cell>
          <cell r="B334">
            <v>99453</v>
          </cell>
          <cell r="C334" t="str">
            <v>Catherine Poole</v>
          </cell>
          <cell r="D334" t="str">
            <v>Portsmouth</v>
          </cell>
          <cell r="E334" t="str">
            <v>England</v>
          </cell>
          <cell r="F334" t="str">
            <v>UK</v>
          </cell>
          <cell r="G334">
            <v>36</v>
          </cell>
          <cell r="H334">
            <v>36</v>
          </cell>
          <cell r="I334" t="str">
            <v>Female</v>
          </cell>
          <cell r="J334" t="str">
            <v>Female</v>
          </cell>
          <cell r="K334" t="str">
            <v>Low</v>
          </cell>
          <cell r="L334" t="str">
            <v>Regular</v>
          </cell>
          <cell r="M334">
            <v>45260</v>
          </cell>
          <cell r="N334">
            <v>7</v>
          </cell>
          <cell r="O334">
            <v>7</v>
          </cell>
          <cell r="P334">
            <v>348.49322510000002</v>
          </cell>
          <cell r="Q334">
            <v>2439.4525760000001</v>
          </cell>
          <cell r="R334" t="str">
            <v>Books</v>
          </cell>
          <cell r="S334" t="str">
            <v>Books</v>
          </cell>
          <cell r="T334" t="str">
            <v>Thriller</v>
          </cell>
          <cell r="U334" t="str">
            <v>Books</v>
          </cell>
          <cell r="V334" t="str">
            <v>Good</v>
          </cell>
          <cell r="W334" t="str">
            <v>Good</v>
          </cell>
          <cell r="X334" t="str">
            <v>Express</v>
          </cell>
          <cell r="Y334">
            <v>4</v>
          </cell>
          <cell r="Z334">
            <v>4</v>
          </cell>
        </row>
        <row r="335">
          <cell r="A335">
            <v>1166989</v>
          </cell>
          <cell r="B335">
            <v>60009</v>
          </cell>
          <cell r="C335" t="str">
            <v>Diane Martinez</v>
          </cell>
          <cell r="D335" t="str">
            <v>Portsmouth</v>
          </cell>
          <cell r="E335" t="str">
            <v>England</v>
          </cell>
          <cell r="F335" t="str">
            <v>UK</v>
          </cell>
          <cell r="G335">
            <v>31</v>
          </cell>
          <cell r="H335">
            <v>31</v>
          </cell>
          <cell r="I335" t="str">
            <v>Male</v>
          </cell>
          <cell r="J335" t="str">
            <v>Male</v>
          </cell>
          <cell r="K335" t="str">
            <v>Low</v>
          </cell>
          <cell r="L335" t="str">
            <v>Regular</v>
          </cell>
          <cell r="M335">
            <v>45246</v>
          </cell>
          <cell r="N335">
            <v>10</v>
          </cell>
          <cell r="O335">
            <v>10</v>
          </cell>
          <cell r="P335">
            <v>337.95890889999998</v>
          </cell>
          <cell r="Q335">
            <v>3379.5890890000001</v>
          </cell>
          <cell r="R335" t="str">
            <v>Electronics</v>
          </cell>
          <cell r="S335" t="str">
            <v>Electronics</v>
          </cell>
          <cell r="T335" t="str">
            <v>Headphones</v>
          </cell>
          <cell r="U335" t="str">
            <v>Electronics</v>
          </cell>
          <cell r="V335" t="str">
            <v>Excellent</v>
          </cell>
          <cell r="W335" t="str">
            <v>Excellent</v>
          </cell>
          <cell r="X335" t="str">
            <v>Standard</v>
          </cell>
          <cell r="Y335">
            <v>4</v>
          </cell>
          <cell r="Z335">
            <v>4</v>
          </cell>
        </row>
        <row r="336">
          <cell r="A336">
            <v>9846574</v>
          </cell>
          <cell r="B336">
            <v>30224</v>
          </cell>
          <cell r="C336" t="str">
            <v>Mary Garcia</v>
          </cell>
          <cell r="D336" t="str">
            <v>Portsmouth</v>
          </cell>
          <cell r="E336" t="str">
            <v>England</v>
          </cell>
          <cell r="F336" t="str">
            <v>UK</v>
          </cell>
          <cell r="G336">
            <v>43</v>
          </cell>
          <cell r="H336">
            <v>43</v>
          </cell>
          <cell r="I336" t="str">
            <v>Female</v>
          </cell>
          <cell r="J336" t="str">
            <v>Female</v>
          </cell>
          <cell r="K336" t="str">
            <v>Low</v>
          </cell>
          <cell r="L336" t="str">
            <v>Regular</v>
          </cell>
          <cell r="M336">
            <v>45253</v>
          </cell>
          <cell r="N336">
            <v>2</v>
          </cell>
          <cell r="O336">
            <v>2</v>
          </cell>
          <cell r="P336">
            <v>143.62217889999999</v>
          </cell>
          <cell r="Q336">
            <v>287.24435779999999</v>
          </cell>
          <cell r="R336" t="str">
            <v>Home Decor</v>
          </cell>
          <cell r="S336" t="str">
            <v>Home Decor</v>
          </cell>
          <cell r="T336" t="str">
            <v>Furniture</v>
          </cell>
          <cell r="U336" t="str">
            <v>Home Decor</v>
          </cell>
          <cell r="V336" t="str">
            <v>Good</v>
          </cell>
          <cell r="W336" t="str">
            <v>Good</v>
          </cell>
          <cell r="X336" t="str">
            <v>Express</v>
          </cell>
          <cell r="Y336">
            <v>4</v>
          </cell>
          <cell r="Z336">
            <v>4</v>
          </cell>
        </row>
        <row r="337">
          <cell r="A337">
            <v>4954042</v>
          </cell>
          <cell r="B337">
            <v>74095</v>
          </cell>
          <cell r="C337" t="str">
            <v>Michelle Johnston</v>
          </cell>
          <cell r="D337" t="str">
            <v>Portsmouth</v>
          </cell>
          <cell r="E337" t="str">
            <v>England</v>
          </cell>
          <cell r="F337" t="str">
            <v>UK</v>
          </cell>
          <cell r="G337">
            <v>50</v>
          </cell>
          <cell r="H337">
            <v>50</v>
          </cell>
          <cell r="I337" t="str">
            <v>Male</v>
          </cell>
          <cell r="J337" t="str">
            <v>Male</v>
          </cell>
          <cell r="K337" t="str">
            <v>Medium</v>
          </cell>
          <cell r="L337" t="str">
            <v>Regular</v>
          </cell>
          <cell r="M337">
            <v>45219</v>
          </cell>
          <cell r="N337">
            <v>9</v>
          </cell>
          <cell r="O337">
            <v>9</v>
          </cell>
          <cell r="P337">
            <v>448.58926819999999</v>
          </cell>
          <cell r="Q337">
            <v>4037.303414</v>
          </cell>
          <cell r="R337" t="str">
            <v>Books</v>
          </cell>
          <cell r="S337" t="str">
            <v>Books</v>
          </cell>
          <cell r="T337" t="str">
            <v>Thriller</v>
          </cell>
          <cell r="U337" t="str">
            <v>Books</v>
          </cell>
          <cell r="V337" t="str">
            <v>Average</v>
          </cell>
          <cell r="W337" t="str">
            <v>Average</v>
          </cell>
          <cell r="X337" t="str">
            <v>Same-Day</v>
          </cell>
          <cell r="Y337">
            <v>2</v>
          </cell>
          <cell r="Z337">
            <v>2</v>
          </cell>
        </row>
        <row r="338">
          <cell r="A338">
            <v>3073877</v>
          </cell>
          <cell r="B338">
            <v>24469</v>
          </cell>
          <cell r="C338" t="str">
            <v>Christopher Whitney</v>
          </cell>
          <cell r="D338" t="str">
            <v>Portsmouth</v>
          </cell>
          <cell r="E338" t="str">
            <v>England</v>
          </cell>
          <cell r="F338" t="str">
            <v>UK</v>
          </cell>
          <cell r="G338">
            <v>34</v>
          </cell>
          <cell r="H338">
            <v>34</v>
          </cell>
          <cell r="I338" t="str">
            <v>Male</v>
          </cell>
          <cell r="J338" t="str">
            <v>Male</v>
          </cell>
          <cell r="K338" t="str">
            <v>Medium</v>
          </cell>
          <cell r="L338" t="str">
            <v>Regular</v>
          </cell>
          <cell r="M338">
            <v>45170</v>
          </cell>
          <cell r="N338">
            <v>3</v>
          </cell>
          <cell r="O338">
            <v>3</v>
          </cell>
          <cell r="P338">
            <v>76.057650870000003</v>
          </cell>
          <cell r="Q338">
            <v>228.1729526</v>
          </cell>
          <cell r="R338" t="str">
            <v>Grocery</v>
          </cell>
          <cell r="S338" t="str">
            <v>Grocery</v>
          </cell>
          <cell r="T338" t="str">
            <v>Soft Drink</v>
          </cell>
          <cell r="U338" t="str">
            <v>Grocery</v>
          </cell>
          <cell r="V338" t="str">
            <v>Good</v>
          </cell>
          <cell r="W338" t="str">
            <v>Good</v>
          </cell>
          <cell r="X338" t="str">
            <v>Same-Day</v>
          </cell>
          <cell r="Y338">
            <v>4</v>
          </cell>
          <cell r="Z338">
            <v>4</v>
          </cell>
        </row>
        <row r="339">
          <cell r="A339">
            <v>7355533</v>
          </cell>
          <cell r="B339">
            <v>76027</v>
          </cell>
          <cell r="C339" t="str">
            <v>Karen Hicks</v>
          </cell>
          <cell r="D339" t="str">
            <v>Portsmouth</v>
          </cell>
          <cell r="E339" t="str">
            <v>England</v>
          </cell>
          <cell r="F339" t="str">
            <v>UK</v>
          </cell>
          <cell r="G339">
            <v>54</v>
          </cell>
          <cell r="H339">
            <v>54</v>
          </cell>
          <cell r="I339" t="str">
            <v>Male</v>
          </cell>
          <cell r="J339" t="str">
            <v>Male</v>
          </cell>
          <cell r="K339" t="str">
            <v>Low</v>
          </cell>
          <cell r="L339" t="str">
            <v>Regular</v>
          </cell>
          <cell r="M339">
            <v>44995</v>
          </cell>
          <cell r="N339">
            <v>4</v>
          </cell>
          <cell r="O339">
            <v>4</v>
          </cell>
          <cell r="P339">
            <v>206.64326750000001</v>
          </cell>
          <cell r="Q339">
            <v>826.5730701</v>
          </cell>
          <cell r="R339" t="str">
            <v>Clothing</v>
          </cell>
          <cell r="S339" t="str">
            <v>Clothing</v>
          </cell>
          <cell r="T339" t="str">
            <v>Shoes</v>
          </cell>
          <cell r="U339" t="str">
            <v>Clothing</v>
          </cell>
          <cell r="V339" t="str">
            <v>Excellent</v>
          </cell>
          <cell r="W339" t="str">
            <v>Excellent</v>
          </cell>
          <cell r="X339" t="str">
            <v>Standard</v>
          </cell>
          <cell r="Y339">
            <v>4</v>
          </cell>
          <cell r="Z339">
            <v>4</v>
          </cell>
        </row>
        <row r="340">
          <cell r="A340">
            <v>1206659</v>
          </cell>
          <cell r="B340">
            <v>68480</v>
          </cell>
          <cell r="C340" t="str">
            <v>Jonathan Smith</v>
          </cell>
          <cell r="D340" t="str">
            <v>Portsmouth</v>
          </cell>
          <cell r="E340" t="str">
            <v>England</v>
          </cell>
          <cell r="F340" t="str">
            <v>UK</v>
          </cell>
          <cell r="G340">
            <v>24</v>
          </cell>
          <cell r="H340">
            <v>24</v>
          </cell>
          <cell r="I340" t="str">
            <v>Female</v>
          </cell>
          <cell r="J340" t="str">
            <v>Female</v>
          </cell>
          <cell r="K340" t="str">
            <v>High</v>
          </cell>
          <cell r="L340" t="str">
            <v>Regular</v>
          </cell>
          <cell r="M340">
            <v>45260</v>
          </cell>
          <cell r="N340">
            <v>2</v>
          </cell>
          <cell r="O340">
            <v>2</v>
          </cell>
          <cell r="P340">
            <v>40.611297380000003</v>
          </cell>
          <cell r="Q340">
            <v>81.222594760000007</v>
          </cell>
          <cell r="R340" t="str">
            <v>Clothing</v>
          </cell>
          <cell r="S340" t="str">
            <v>Clothing</v>
          </cell>
          <cell r="T340" t="str">
            <v>Shirt</v>
          </cell>
          <cell r="U340" t="str">
            <v>Clothing</v>
          </cell>
          <cell r="V340" t="str">
            <v>Excellent</v>
          </cell>
          <cell r="W340" t="str">
            <v>Excellent</v>
          </cell>
          <cell r="X340" t="str">
            <v>Standard</v>
          </cell>
          <cell r="Y340">
            <v>5</v>
          </cell>
          <cell r="Z340">
            <v>5</v>
          </cell>
        </row>
        <row r="341">
          <cell r="A341">
            <v>7636359</v>
          </cell>
          <cell r="B341">
            <v>31763</v>
          </cell>
          <cell r="C341" t="str">
            <v>Robin Ramirez</v>
          </cell>
          <cell r="D341" t="str">
            <v>Portsmouth</v>
          </cell>
          <cell r="E341" t="str">
            <v>England</v>
          </cell>
          <cell r="F341" t="str">
            <v>UK</v>
          </cell>
          <cell r="G341">
            <v>54</v>
          </cell>
          <cell r="H341">
            <v>54</v>
          </cell>
          <cell r="I341" t="str">
            <v>Male</v>
          </cell>
          <cell r="J341" t="str">
            <v>Male</v>
          </cell>
          <cell r="K341" t="str">
            <v>Medium</v>
          </cell>
          <cell r="L341" t="str">
            <v>Regular</v>
          </cell>
          <cell r="M341">
            <v>45172</v>
          </cell>
          <cell r="N341">
            <v>5</v>
          </cell>
          <cell r="O341">
            <v>5</v>
          </cell>
          <cell r="P341">
            <v>98.033748329999995</v>
          </cell>
          <cell r="Q341">
            <v>490.16874159999998</v>
          </cell>
          <cell r="R341" t="str">
            <v>Home Decor</v>
          </cell>
          <cell r="S341" t="str">
            <v>Home Decor</v>
          </cell>
          <cell r="T341" t="str">
            <v>Decorations</v>
          </cell>
          <cell r="U341" t="str">
            <v>Home Decor</v>
          </cell>
          <cell r="V341" t="str">
            <v>Good</v>
          </cell>
          <cell r="W341" t="str">
            <v>Good</v>
          </cell>
          <cell r="X341" t="str">
            <v>Same-Day</v>
          </cell>
          <cell r="Y341">
            <v>3</v>
          </cell>
          <cell r="Z341">
            <v>3</v>
          </cell>
        </row>
        <row r="342">
          <cell r="A342">
            <v>4668300</v>
          </cell>
          <cell r="B342">
            <v>18113</v>
          </cell>
          <cell r="C342" t="str">
            <v>Erica Juarez</v>
          </cell>
          <cell r="D342" t="str">
            <v>Portsmouth</v>
          </cell>
          <cell r="E342" t="str">
            <v>England</v>
          </cell>
          <cell r="F342" t="str">
            <v>UK</v>
          </cell>
          <cell r="G342">
            <v>22</v>
          </cell>
          <cell r="H342">
            <v>22</v>
          </cell>
          <cell r="I342" t="str">
            <v>Male</v>
          </cell>
          <cell r="J342" t="str">
            <v>Male</v>
          </cell>
          <cell r="K342" t="str">
            <v>Medium</v>
          </cell>
          <cell r="L342" t="str">
            <v>Regular</v>
          </cell>
          <cell r="M342">
            <v>45330</v>
          </cell>
          <cell r="N342">
            <v>6</v>
          </cell>
          <cell r="O342">
            <v>6</v>
          </cell>
          <cell r="P342">
            <v>445.47662159999999</v>
          </cell>
          <cell r="Q342">
            <v>2672.8597289999998</v>
          </cell>
          <cell r="R342" t="str">
            <v>Home Decor</v>
          </cell>
          <cell r="S342" t="str">
            <v>Home Decor</v>
          </cell>
          <cell r="T342" t="str">
            <v>Tools</v>
          </cell>
          <cell r="U342" t="str">
            <v>Home Decor</v>
          </cell>
          <cell r="V342" t="str">
            <v>Good</v>
          </cell>
          <cell r="W342" t="str">
            <v>Good</v>
          </cell>
          <cell r="X342" t="str">
            <v>Express</v>
          </cell>
          <cell r="Y342">
            <v>3</v>
          </cell>
          <cell r="Z342">
            <v>3</v>
          </cell>
        </row>
        <row r="343">
          <cell r="A343">
            <v>8025037</v>
          </cell>
          <cell r="B343">
            <v>57044</v>
          </cell>
          <cell r="C343" t="str">
            <v>Lindsey Bowman</v>
          </cell>
          <cell r="D343" t="str">
            <v>Portsmouth</v>
          </cell>
          <cell r="E343" t="str">
            <v>England</v>
          </cell>
          <cell r="F343" t="str">
            <v>UK</v>
          </cell>
          <cell r="G343">
            <v>44</v>
          </cell>
          <cell r="H343">
            <v>44</v>
          </cell>
          <cell r="I343" t="str">
            <v>Male</v>
          </cell>
          <cell r="J343" t="str">
            <v>Male</v>
          </cell>
          <cell r="K343" t="str">
            <v>Low</v>
          </cell>
          <cell r="L343" t="str">
            <v>Regular</v>
          </cell>
          <cell r="M343">
            <v>45257</v>
          </cell>
          <cell r="N343">
            <v>4</v>
          </cell>
          <cell r="O343">
            <v>4</v>
          </cell>
          <cell r="P343">
            <v>214.24407059999999</v>
          </cell>
          <cell r="Q343">
            <v>856.97628229999998</v>
          </cell>
          <cell r="R343" t="str">
            <v>Books</v>
          </cell>
          <cell r="S343" t="str">
            <v>Books</v>
          </cell>
          <cell r="T343" t="str">
            <v>Thriller</v>
          </cell>
          <cell r="U343" t="str">
            <v>Books</v>
          </cell>
          <cell r="V343" t="str">
            <v>Good</v>
          </cell>
          <cell r="W343" t="str">
            <v>Good</v>
          </cell>
          <cell r="X343" t="str">
            <v>Express</v>
          </cell>
          <cell r="Y343">
            <v>3</v>
          </cell>
          <cell r="Z343">
            <v>3</v>
          </cell>
        </row>
        <row r="344">
          <cell r="A344">
            <v>6989571</v>
          </cell>
          <cell r="B344">
            <v>25041</v>
          </cell>
          <cell r="C344" t="str">
            <v>Allison Wright</v>
          </cell>
          <cell r="D344" t="str">
            <v>Portsmouth</v>
          </cell>
          <cell r="E344" t="str">
            <v>England</v>
          </cell>
          <cell r="F344" t="str">
            <v>UK</v>
          </cell>
          <cell r="G344">
            <v>27</v>
          </cell>
          <cell r="H344">
            <v>27</v>
          </cell>
          <cell r="I344" t="str">
            <v>Female</v>
          </cell>
          <cell r="J344" t="str">
            <v>Female</v>
          </cell>
          <cell r="K344" t="str">
            <v>High</v>
          </cell>
          <cell r="L344" t="str">
            <v>Regular</v>
          </cell>
          <cell r="M344">
            <v>45020</v>
          </cell>
          <cell r="N344">
            <v>7</v>
          </cell>
          <cell r="O344">
            <v>7</v>
          </cell>
          <cell r="P344">
            <v>211.74806340000001</v>
          </cell>
          <cell r="Q344">
            <v>1482.2364439999999</v>
          </cell>
          <cell r="R344" t="str">
            <v>Grocery</v>
          </cell>
          <cell r="S344" t="str">
            <v>Grocery</v>
          </cell>
          <cell r="T344" t="str">
            <v>Soft Drink</v>
          </cell>
          <cell r="U344" t="str">
            <v>Grocery</v>
          </cell>
          <cell r="V344" t="str">
            <v>Excellent</v>
          </cell>
          <cell r="W344" t="str">
            <v>Excellent</v>
          </cell>
          <cell r="X344" t="str">
            <v>Standard</v>
          </cell>
          <cell r="Y344">
            <v>5</v>
          </cell>
          <cell r="Z344">
            <v>5</v>
          </cell>
        </row>
        <row r="345">
          <cell r="A345">
            <v>3838929</v>
          </cell>
          <cell r="B345">
            <v>30563</v>
          </cell>
          <cell r="C345" t="str">
            <v>Pedro Estrada</v>
          </cell>
          <cell r="D345" t="str">
            <v>Portsmouth</v>
          </cell>
          <cell r="E345" t="str">
            <v>England</v>
          </cell>
          <cell r="F345" t="str">
            <v>UK</v>
          </cell>
          <cell r="G345">
            <v>25</v>
          </cell>
          <cell r="H345">
            <v>25</v>
          </cell>
          <cell r="I345" t="str">
            <v>Female</v>
          </cell>
          <cell r="J345" t="str">
            <v>Female</v>
          </cell>
          <cell r="K345" t="str">
            <v>Medium</v>
          </cell>
          <cell r="L345" t="str">
            <v>Regular</v>
          </cell>
          <cell r="M345">
            <v>45316</v>
          </cell>
          <cell r="N345">
            <v>10</v>
          </cell>
          <cell r="O345">
            <v>10</v>
          </cell>
          <cell r="P345">
            <v>402.44745699999999</v>
          </cell>
          <cell r="Q345">
            <v>4024.4745699999999</v>
          </cell>
          <cell r="R345" t="str">
            <v>Books</v>
          </cell>
          <cell r="S345" t="str">
            <v>Books</v>
          </cell>
          <cell r="T345" t="str">
            <v>Fiction</v>
          </cell>
          <cell r="U345" t="str">
            <v>Books</v>
          </cell>
          <cell r="V345" t="str">
            <v>Excellent</v>
          </cell>
          <cell r="W345" t="str">
            <v>Excellent</v>
          </cell>
          <cell r="X345" t="str">
            <v>Same-Day</v>
          </cell>
          <cell r="Y345">
            <v>4</v>
          </cell>
          <cell r="Z345">
            <v>4</v>
          </cell>
        </row>
        <row r="346">
          <cell r="A346">
            <v>1787881</v>
          </cell>
          <cell r="B346">
            <v>45693</v>
          </cell>
          <cell r="C346" t="str">
            <v>Melinda Moore</v>
          </cell>
          <cell r="D346" t="str">
            <v>Portsmouth</v>
          </cell>
          <cell r="E346" t="str">
            <v>England</v>
          </cell>
          <cell r="F346" t="str">
            <v>UK</v>
          </cell>
          <cell r="G346">
            <v>67</v>
          </cell>
          <cell r="H346">
            <v>67</v>
          </cell>
          <cell r="I346" t="str">
            <v>Male</v>
          </cell>
          <cell r="J346" t="str">
            <v>Male</v>
          </cell>
          <cell r="K346" t="str">
            <v>Low</v>
          </cell>
          <cell r="L346" t="str">
            <v>Regular</v>
          </cell>
          <cell r="M346">
            <v>45241</v>
          </cell>
          <cell r="N346">
            <v>7</v>
          </cell>
          <cell r="O346">
            <v>7</v>
          </cell>
          <cell r="P346">
            <v>54.659264460000003</v>
          </cell>
          <cell r="Q346">
            <v>382.61485119999998</v>
          </cell>
          <cell r="R346" t="str">
            <v>Electronics</v>
          </cell>
          <cell r="S346" t="str">
            <v>Electronics</v>
          </cell>
          <cell r="T346" t="str">
            <v>Television</v>
          </cell>
          <cell r="U346" t="str">
            <v>Electronics</v>
          </cell>
          <cell r="V346" t="str">
            <v>Bad</v>
          </cell>
          <cell r="W346" t="str">
            <v>Bad</v>
          </cell>
          <cell r="X346" t="str">
            <v>Same-Day</v>
          </cell>
          <cell r="Y346">
            <v>1</v>
          </cell>
          <cell r="Z346">
            <v>1</v>
          </cell>
        </row>
        <row r="347">
          <cell r="A347">
            <v>4673562</v>
          </cell>
          <cell r="B347">
            <v>43571</v>
          </cell>
          <cell r="C347" t="str">
            <v>Ryan Graham</v>
          </cell>
          <cell r="D347" t="str">
            <v>Portsmouth</v>
          </cell>
          <cell r="E347" t="str">
            <v>England</v>
          </cell>
          <cell r="F347" t="str">
            <v>UK</v>
          </cell>
          <cell r="G347">
            <v>18</v>
          </cell>
          <cell r="H347">
            <v>18</v>
          </cell>
          <cell r="I347" t="str">
            <v>Male</v>
          </cell>
          <cell r="J347" t="str">
            <v>Male</v>
          </cell>
          <cell r="K347" t="str">
            <v>Low</v>
          </cell>
          <cell r="L347" t="str">
            <v>Regular</v>
          </cell>
          <cell r="M347">
            <v>45268</v>
          </cell>
          <cell r="N347">
            <v>1</v>
          </cell>
          <cell r="O347">
            <v>1</v>
          </cell>
          <cell r="P347">
            <v>207.0866948</v>
          </cell>
          <cell r="Q347">
            <v>207.0866948</v>
          </cell>
          <cell r="R347" t="str">
            <v>Books</v>
          </cell>
          <cell r="S347" t="str">
            <v>Books</v>
          </cell>
          <cell r="T347" t="str">
            <v>Non-Fiction</v>
          </cell>
          <cell r="U347" t="str">
            <v>Books</v>
          </cell>
          <cell r="V347" t="str">
            <v>Average</v>
          </cell>
          <cell r="W347" t="str">
            <v>Average</v>
          </cell>
          <cell r="X347" t="str">
            <v>Express</v>
          </cell>
          <cell r="Y347">
            <v>2</v>
          </cell>
          <cell r="Z347">
            <v>2</v>
          </cell>
        </row>
        <row r="348">
          <cell r="A348">
            <v>2018159</v>
          </cell>
          <cell r="B348">
            <v>66017</v>
          </cell>
          <cell r="C348" t="str">
            <v>Christopher Parker</v>
          </cell>
          <cell r="D348" t="str">
            <v>Portsmouth</v>
          </cell>
          <cell r="E348" t="str">
            <v>England</v>
          </cell>
          <cell r="F348" t="str">
            <v>UK</v>
          </cell>
          <cell r="G348">
            <v>22</v>
          </cell>
          <cell r="H348">
            <v>22</v>
          </cell>
          <cell r="I348" t="str">
            <v>Male</v>
          </cell>
          <cell r="J348" t="str">
            <v>Male</v>
          </cell>
          <cell r="K348" t="str">
            <v>Low</v>
          </cell>
          <cell r="L348" t="str">
            <v>Regular</v>
          </cell>
          <cell r="M348">
            <v>45274</v>
          </cell>
          <cell r="N348">
            <v>2</v>
          </cell>
          <cell r="O348">
            <v>2</v>
          </cell>
          <cell r="P348">
            <v>281.61460290000002</v>
          </cell>
          <cell r="Q348">
            <v>563.22920580000005</v>
          </cell>
          <cell r="R348" t="str">
            <v>Home Decor</v>
          </cell>
          <cell r="S348" t="str">
            <v>Home Decor</v>
          </cell>
          <cell r="T348" t="str">
            <v>Tools</v>
          </cell>
          <cell r="U348" t="str">
            <v>Home Decor</v>
          </cell>
          <cell r="V348" t="str">
            <v>Good</v>
          </cell>
          <cell r="W348" t="str">
            <v>Good</v>
          </cell>
          <cell r="X348" t="str">
            <v>Same-Day</v>
          </cell>
          <cell r="Y348">
            <v>3</v>
          </cell>
          <cell r="Z348">
            <v>3</v>
          </cell>
        </row>
        <row r="349">
          <cell r="A349">
            <v>7127278</v>
          </cell>
          <cell r="B349">
            <v>45899</v>
          </cell>
          <cell r="C349" t="str">
            <v>Laura Butler</v>
          </cell>
          <cell r="D349" t="str">
            <v>Portsmouth</v>
          </cell>
          <cell r="E349" t="str">
            <v>England</v>
          </cell>
          <cell r="F349" t="str">
            <v>UK</v>
          </cell>
          <cell r="G349">
            <v>25</v>
          </cell>
          <cell r="H349">
            <v>25</v>
          </cell>
          <cell r="I349" t="str">
            <v>Male</v>
          </cell>
          <cell r="J349" t="str">
            <v>Male</v>
          </cell>
          <cell r="K349" t="str">
            <v>Medium</v>
          </cell>
          <cell r="L349" t="str">
            <v>Regular</v>
          </cell>
          <cell r="M349">
            <v>45032</v>
          </cell>
          <cell r="N349">
            <v>2</v>
          </cell>
          <cell r="O349">
            <v>2</v>
          </cell>
          <cell r="P349">
            <v>218.7749551</v>
          </cell>
          <cell r="Q349">
            <v>437.5499102</v>
          </cell>
          <cell r="R349" t="str">
            <v>Home Decor</v>
          </cell>
          <cell r="S349" t="str">
            <v>Home Decor</v>
          </cell>
          <cell r="T349" t="str">
            <v>Furniture</v>
          </cell>
          <cell r="U349" t="str">
            <v>Home Decor</v>
          </cell>
          <cell r="V349" t="str">
            <v>Excellent</v>
          </cell>
          <cell r="W349" t="str">
            <v>Excellent</v>
          </cell>
          <cell r="X349" t="str">
            <v>Standard</v>
          </cell>
          <cell r="Y349">
            <v>4</v>
          </cell>
          <cell r="Z349">
            <v>4</v>
          </cell>
        </row>
        <row r="350">
          <cell r="A350">
            <v>6654529</v>
          </cell>
          <cell r="B350">
            <v>99025</v>
          </cell>
          <cell r="C350" t="str">
            <v>Christine Turner</v>
          </cell>
          <cell r="D350" t="str">
            <v>Portsmouth</v>
          </cell>
          <cell r="E350" t="str">
            <v>England</v>
          </cell>
          <cell r="F350" t="str">
            <v>UK</v>
          </cell>
          <cell r="G350">
            <v>30</v>
          </cell>
          <cell r="H350">
            <v>30</v>
          </cell>
          <cell r="I350" t="str">
            <v>Male</v>
          </cell>
          <cell r="J350" t="str">
            <v>Male</v>
          </cell>
          <cell r="K350" t="str">
            <v>High</v>
          </cell>
          <cell r="L350" t="str">
            <v>Regular</v>
          </cell>
          <cell r="M350">
            <v>45148</v>
          </cell>
          <cell r="N350">
            <v>10</v>
          </cell>
          <cell r="O350">
            <v>10</v>
          </cell>
          <cell r="P350">
            <v>424.93482269999998</v>
          </cell>
          <cell r="Q350">
            <v>4249.3482270000004</v>
          </cell>
          <cell r="R350" t="str">
            <v>Home Decor</v>
          </cell>
          <cell r="S350" t="str">
            <v>Home Decor</v>
          </cell>
          <cell r="T350" t="str">
            <v>Lighting</v>
          </cell>
          <cell r="U350" t="str">
            <v>Home Decor</v>
          </cell>
          <cell r="V350" t="str">
            <v>Bad</v>
          </cell>
          <cell r="W350" t="str">
            <v>Bad</v>
          </cell>
          <cell r="X350" t="str">
            <v>Same-Day</v>
          </cell>
          <cell r="Y350">
            <v>1</v>
          </cell>
          <cell r="Z350">
            <v>1</v>
          </cell>
        </row>
        <row r="351">
          <cell r="A351">
            <v>7226711</v>
          </cell>
          <cell r="B351">
            <v>18515</v>
          </cell>
          <cell r="C351" t="str">
            <v>Jennifer Salinas</v>
          </cell>
          <cell r="D351" t="str">
            <v>Portsmouth</v>
          </cell>
          <cell r="E351" t="str">
            <v>England</v>
          </cell>
          <cell r="F351" t="str">
            <v>UK</v>
          </cell>
          <cell r="G351">
            <v>67</v>
          </cell>
          <cell r="H351">
            <v>67</v>
          </cell>
          <cell r="I351" t="str">
            <v>Male</v>
          </cell>
          <cell r="J351" t="str">
            <v>Male</v>
          </cell>
          <cell r="K351" t="str">
            <v>High</v>
          </cell>
          <cell r="L351" t="str">
            <v>Regular</v>
          </cell>
          <cell r="M351">
            <v>45321</v>
          </cell>
          <cell r="N351">
            <v>1</v>
          </cell>
          <cell r="O351">
            <v>1</v>
          </cell>
          <cell r="P351">
            <v>52.377464080000003</v>
          </cell>
          <cell r="Q351">
            <v>52.377464080000003</v>
          </cell>
          <cell r="R351" t="str">
            <v>Home Decor</v>
          </cell>
          <cell r="S351" t="str">
            <v>Home Decor</v>
          </cell>
          <cell r="T351" t="str">
            <v>Furniture</v>
          </cell>
          <cell r="U351" t="str">
            <v>Home Decor</v>
          </cell>
          <cell r="V351" t="str">
            <v>Good</v>
          </cell>
          <cell r="W351" t="str">
            <v>Good</v>
          </cell>
          <cell r="X351" t="str">
            <v>Standard</v>
          </cell>
          <cell r="Y351">
            <v>3</v>
          </cell>
          <cell r="Z351">
            <v>3</v>
          </cell>
        </row>
        <row r="352">
          <cell r="A352">
            <v>9749364</v>
          </cell>
          <cell r="B352">
            <v>75652</v>
          </cell>
          <cell r="C352" t="str">
            <v>Marissa Nguyen</v>
          </cell>
          <cell r="D352" t="str">
            <v>Portsmouth</v>
          </cell>
          <cell r="E352" t="str">
            <v>England</v>
          </cell>
          <cell r="F352" t="str">
            <v>UK</v>
          </cell>
          <cell r="G352">
            <v>19</v>
          </cell>
          <cell r="H352">
            <v>19</v>
          </cell>
          <cell r="I352" t="str">
            <v>Female</v>
          </cell>
          <cell r="J352" t="str">
            <v>Female</v>
          </cell>
          <cell r="K352" t="str">
            <v>Low</v>
          </cell>
          <cell r="L352" t="str">
            <v>Regular</v>
          </cell>
          <cell r="M352">
            <v>45099</v>
          </cell>
          <cell r="N352">
            <v>5</v>
          </cell>
          <cell r="O352">
            <v>5</v>
          </cell>
          <cell r="P352">
            <v>285.90947790000001</v>
          </cell>
          <cell r="Q352">
            <v>1429.5473890000001</v>
          </cell>
          <cell r="R352" t="str">
            <v>Grocery</v>
          </cell>
          <cell r="S352" t="str">
            <v>Grocery</v>
          </cell>
          <cell r="T352" t="str">
            <v>Soft Drink</v>
          </cell>
          <cell r="U352" t="str">
            <v>Grocery</v>
          </cell>
          <cell r="V352" t="str">
            <v>Excellent</v>
          </cell>
          <cell r="W352" t="str">
            <v>Excellent</v>
          </cell>
          <cell r="X352" t="str">
            <v>Standard</v>
          </cell>
          <cell r="Y352">
            <v>5</v>
          </cell>
          <cell r="Z352">
            <v>5</v>
          </cell>
        </row>
        <row r="353">
          <cell r="A353">
            <v>8709027</v>
          </cell>
          <cell r="B353">
            <v>17165</v>
          </cell>
          <cell r="C353" t="str">
            <v>David Williams</v>
          </cell>
          <cell r="D353" t="str">
            <v>Portsmouth</v>
          </cell>
          <cell r="E353" t="str">
            <v>England</v>
          </cell>
          <cell r="F353" t="str">
            <v>UK</v>
          </cell>
          <cell r="G353">
            <v>63</v>
          </cell>
          <cell r="H353">
            <v>63</v>
          </cell>
          <cell r="I353" t="str">
            <v>Male</v>
          </cell>
          <cell r="J353" t="str">
            <v>Male</v>
          </cell>
          <cell r="K353" t="str">
            <v>Medium</v>
          </cell>
          <cell r="L353" t="str">
            <v>Regular</v>
          </cell>
          <cell r="M353">
            <v>45065</v>
          </cell>
          <cell r="N353">
            <v>9</v>
          </cell>
          <cell r="O353">
            <v>9</v>
          </cell>
          <cell r="P353">
            <v>45.318299250000003</v>
          </cell>
          <cell r="Q353">
            <v>407.86469319999998</v>
          </cell>
          <cell r="R353" t="str">
            <v>Books</v>
          </cell>
          <cell r="S353" t="str">
            <v>Books</v>
          </cell>
          <cell r="T353" t="str">
            <v>Literature</v>
          </cell>
          <cell r="U353" t="str">
            <v>Books</v>
          </cell>
          <cell r="V353" t="str">
            <v>Bad</v>
          </cell>
          <cell r="W353" t="str">
            <v>Bad</v>
          </cell>
          <cell r="X353" t="str">
            <v>Same-Day</v>
          </cell>
          <cell r="Y353">
            <v>1</v>
          </cell>
          <cell r="Z353">
            <v>1</v>
          </cell>
        </row>
        <row r="354">
          <cell r="A354">
            <v>6675960</v>
          </cell>
          <cell r="B354">
            <v>60597</v>
          </cell>
          <cell r="C354" t="str">
            <v>Chad Cruz</v>
          </cell>
          <cell r="D354" t="str">
            <v>Portsmouth</v>
          </cell>
          <cell r="E354" t="str">
            <v>England</v>
          </cell>
          <cell r="F354" t="str">
            <v>UK</v>
          </cell>
          <cell r="G354">
            <v>30</v>
          </cell>
          <cell r="H354">
            <v>30</v>
          </cell>
          <cell r="I354" t="str">
            <v>Male</v>
          </cell>
          <cell r="J354" t="str">
            <v>Male</v>
          </cell>
          <cell r="K354" t="str">
            <v>High</v>
          </cell>
          <cell r="L354" t="str">
            <v>Regular</v>
          </cell>
          <cell r="M354">
            <v>45170</v>
          </cell>
          <cell r="N354">
            <v>3</v>
          </cell>
          <cell r="O354">
            <v>3</v>
          </cell>
          <cell r="P354">
            <v>442.20173210000002</v>
          </cell>
          <cell r="Q354">
            <v>1326.605196</v>
          </cell>
          <cell r="R354" t="str">
            <v>Home Decor</v>
          </cell>
          <cell r="S354" t="str">
            <v>Home Decor</v>
          </cell>
          <cell r="T354" t="str">
            <v>Kitchen</v>
          </cell>
          <cell r="U354" t="str">
            <v>Home Decor</v>
          </cell>
          <cell r="V354" t="str">
            <v>Good</v>
          </cell>
          <cell r="W354" t="str">
            <v>Good</v>
          </cell>
          <cell r="X354" t="str">
            <v>Same-Day</v>
          </cell>
          <cell r="Y354">
            <v>3</v>
          </cell>
          <cell r="Z354">
            <v>3</v>
          </cell>
        </row>
        <row r="355">
          <cell r="A355">
            <v>6171792</v>
          </cell>
          <cell r="B355">
            <v>82260</v>
          </cell>
          <cell r="C355" t="str">
            <v>John Arroyo</v>
          </cell>
          <cell r="D355" t="str">
            <v>Portsmouth</v>
          </cell>
          <cell r="E355" t="str">
            <v>England</v>
          </cell>
          <cell r="F355" t="str">
            <v>UK</v>
          </cell>
          <cell r="G355">
            <v>70</v>
          </cell>
          <cell r="H355">
            <v>70</v>
          </cell>
          <cell r="I355" t="str">
            <v>Female</v>
          </cell>
          <cell r="J355" t="str">
            <v>Female</v>
          </cell>
          <cell r="K355" t="str">
            <v>Low</v>
          </cell>
          <cell r="L355" t="str">
            <v>Regular</v>
          </cell>
          <cell r="M355">
            <v>45182</v>
          </cell>
          <cell r="N355">
            <v>6</v>
          </cell>
          <cell r="O355">
            <v>6</v>
          </cell>
          <cell r="P355">
            <v>76.276639860000003</v>
          </cell>
          <cell r="Q355">
            <v>457.65983920000002</v>
          </cell>
          <cell r="R355" t="str">
            <v>Clothing</v>
          </cell>
          <cell r="S355" t="str">
            <v>Clothing</v>
          </cell>
          <cell r="T355" t="str">
            <v>Jacket</v>
          </cell>
          <cell r="U355" t="str">
            <v>Clothing</v>
          </cell>
          <cell r="V355" t="str">
            <v>Average</v>
          </cell>
          <cell r="W355" t="str">
            <v>Average</v>
          </cell>
          <cell r="X355" t="str">
            <v>Express</v>
          </cell>
          <cell r="Y355">
            <v>2</v>
          </cell>
          <cell r="Z355">
            <v>2</v>
          </cell>
        </row>
        <row r="356">
          <cell r="A356">
            <v>6199408</v>
          </cell>
          <cell r="B356">
            <v>41508</v>
          </cell>
          <cell r="C356" t="str">
            <v>William Ramos</v>
          </cell>
          <cell r="D356" t="str">
            <v>Portsmouth</v>
          </cell>
          <cell r="E356" t="str">
            <v>England</v>
          </cell>
          <cell r="F356" t="str">
            <v>UK</v>
          </cell>
          <cell r="G356">
            <v>37</v>
          </cell>
          <cell r="H356">
            <v>37</v>
          </cell>
          <cell r="I356" t="str">
            <v>Male</v>
          </cell>
          <cell r="J356" t="str">
            <v>Male</v>
          </cell>
          <cell r="K356" t="str">
            <v>Medium</v>
          </cell>
          <cell r="L356" t="str">
            <v>Regular</v>
          </cell>
          <cell r="M356">
            <v>45294</v>
          </cell>
          <cell r="N356">
            <v>2</v>
          </cell>
          <cell r="O356">
            <v>2</v>
          </cell>
          <cell r="P356">
            <v>131.20250659999999</v>
          </cell>
          <cell r="Q356">
            <v>262.40501319999998</v>
          </cell>
          <cell r="R356" t="str">
            <v>Grocery</v>
          </cell>
          <cell r="S356" t="str">
            <v>Grocery</v>
          </cell>
          <cell r="T356" t="str">
            <v>Water</v>
          </cell>
          <cell r="U356" t="str">
            <v>Grocery</v>
          </cell>
          <cell r="V356" t="str">
            <v>Excellent</v>
          </cell>
          <cell r="W356" t="str">
            <v>Excellent</v>
          </cell>
          <cell r="X356" t="str">
            <v>Express</v>
          </cell>
          <cell r="Y356">
            <v>5</v>
          </cell>
          <cell r="Z356">
            <v>5</v>
          </cell>
        </row>
        <row r="357">
          <cell r="A357">
            <v>4480409</v>
          </cell>
          <cell r="B357">
            <v>74540</v>
          </cell>
          <cell r="C357" t="str">
            <v>Stuart Hutchinson</v>
          </cell>
          <cell r="D357" t="str">
            <v>Portsmouth</v>
          </cell>
          <cell r="E357" t="str">
            <v>England</v>
          </cell>
          <cell r="F357" t="str">
            <v>UK</v>
          </cell>
          <cell r="G357">
            <v>34</v>
          </cell>
          <cell r="H357">
            <v>34</v>
          </cell>
          <cell r="I357" t="str">
            <v>Female</v>
          </cell>
          <cell r="J357" t="str">
            <v>Female</v>
          </cell>
          <cell r="K357" t="str">
            <v>Medium</v>
          </cell>
          <cell r="L357" t="str">
            <v>Regular</v>
          </cell>
          <cell r="M357">
            <v>45149</v>
          </cell>
          <cell r="N357">
            <v>4</v>
          </cell>
          <cell r="O357">
            <v>4</v>
          </cell>
          <cell r="P357">
            <v>202.9103015</v>
          </cell>
          <cell r="Q357">
            <v>811.64120590000005</v>
          </cell>
          <cell r="R357" t="str">
            <v>Books</v>
          </cell>
          <cell r="S357" t="str">
            <v>Books</v>
          </cell>
          <cell r="T357" t="str">
            <v>Non-Fiction</v>
          </cell>
          <cell r="U357" t="str">
            <v>Books</v>
          </cell>
          <cell r="V357" t="str">
            <v>Average</v>
          </cell>
          <cell r="W357" t="str">
            <v>Average</v>
          </cell>
          <cell r="X357" t="str">
            <v>Standard</v>
          </cell>
          <cell r="Y357">
            <v>2</v>
          </cell>
          <cell r="Z357">
            <v>2</v>
          </cell>
        </row>
        <row r="358">
          <cell r="A358">
            <v>1363299</v>
          </cell>
          <cell r="B358">
            <v>28607</v>
          </cell>
          <cell r="C358" t="str">
            <v>Darren Higgins</v>
          </cell>
          <cell r="D358" t="str">
            <v>Portsmouth</v>
          </cell>
          <cell r="E358" t="str">
            <v>England</v>
          </cell>
          <cell r="F358" t="str">
            <v>UK</v>
          </cell>
          <cell r="G358">
            <v>60</v>
          </cell>
          <cell r="H358">
            <v>60</v>
          </cell>
          <cell r="I358" t="str">
            <v>Male</v>
          </cell>
          <cell r="J358" t="str">
            <v>Male</v>
          </cell>
          <cell r="K358" t="str">
            <v>Medium</v>
          </cell>
          <cell r="L358" t="str">
            <v>Regular</v>
          </cell>
          <cell r="M358">
            <v>45000</v>
          </cell>
          <cell r="N358">
            <v>2</v>
          </cell>
          <cell r="O358">
            <v>2</v>
          </cell>
          <cell r="P358">
            <v>365.80532940000001</v>
          </cell>
          <cell r="Q358">
            <v>731.61065870000004</v>
          </cell>
          <cell r="R358" t="str">
            <v>Home Decor</v>
          </cell>
          <cell r="S358" t="str">
            <v>Home Decor</v>
          </cell>
          <cell r="T358" t="str">
            <v>Kitchen</v>
          </cell>
          <cell r="U358" t="str">
            <v>Home Decor</v>
          </cell>
          <cell r="V358" t="str">
            <v>Excellent</v>
          </cell>
          <cell r="W358" t="str">
            <v>Excellent</v>
          </cell>
          <cell r="X358" t="str">
            <v>Express</v>
          </cell>
          <cell r="Y358">
            <v>4</v>
          </cell>
          <cell r="Z358">
            <v>4</v>
          </cell>
        </row>
        <row r="359">
          <cell r="A359">
            <v>8130970</v>
          </cell>
          <cell r="B359">
            <v>13793</v>
          </cell>
          <cell r="C359" t="str">
            <v>Marie Robinson</v>
          </cell>
          <cell r="D359" t="str">
            <v>Portsmouth</v>
          </cell>
          <cell r="E359" t="str">
            <v>England</v>
          </cell>
          <cell r="F359" t="str">
            <v>UK</v>
          </cell>
          <cell r="G359">
            <v>39</v>
          </cell>
          <cell r="H359">
            <v>39</v>
          </cell>
          <cell r="I359" t="str">
            <v>Male</v>
          </cell>
          <cell r="J359" t="str">
            <v>Male</v>
          </cell>
          <cell r="K359" t="str">
            <v>Medium</v>
          </cell>
          <cell r="L359" t="str">
            <v>Regular</v>
          </cell>
          <cell r="M359">
            <v>45129</v>
          </cell>
          <cell r="N359">
            <v>4</v>
          </cell>
          <cell r="O359">
            <v>4</v>
          </cell>
          <cell r="P359">
            <v>359.45480959999998</v>
          </cell>
          <cell r="Q359">
            <v>1437.8192389999999</v>
          </cell>
          <cell r="R359" t="str">
            <v>Clothing</v>
          </cell>
          <cell r="S359" t="str">
            <v>Clothing</v>
          </cell>
          <cell r="T359" t="str">
            <v>T-shirt</v>
          </cell>
          <cell r="U359" t="str">
            <v>Clothing</v>
          </cell>
          <cell r="V359" t="str">
            <v>Bad</v>
          </cell>
          <cell r="W359" t="str">
            <v>Bad</v>
          </cell>
          <cell r="X359" t="str">
            <v>Express</v>
          </cell>
          <cell r="Y359">
            <v>1</v>
          </cell>
          <cell r="Z359">
            <v>1</v>
          </cell>
        </row>
        <row r="360">
          <cell r="A360">
            <v>1355949</v>
          </cell>
          <cell r="B360">
            <v>21174</v>
          </cell>
          <cell r="C360" t="str">
            <v>Brianna Williamson</v>
          </cell>
          <cell r="D360" t="str">
            <v>Portsmouth</v>
          </cell>
          <cell r="E360" t="str">
            <v>England</v>
          </cell>
          <cell r="F360" t="str">
            <v>UK</v>
          </cell>
          <cell r="G360">
            <v>20</v>
          </cell>
          <cell r="H360">
            <v>20</v>
          </cell>
          <cell r="I360" t="str">
            <v>Male</v>
          </cell>
          <cell r="J360" t="str">
            <v>Male</v>
          </cell>
          <cell r="K360" t="str">
            <v>Low</v>
          </cell>
          <cell r="L360" t="str">
            <v>Regular</v>
          </cell>
          <cell r="M360">
            <v>45348</v>
          </cell>
          <cell r="N360">
            <v>4</v>
          </cell>
          <cell r="O360">
            <v>4</v>
          </cell>
          <cell r="P360">
            <v>284.63939729999998</v>
          </cell>
          <cell r="Q360">
            <v>1138.557589</v>
          </cell>
          <cell r="R360" t="str">
            <v>Home Decor</v>
          </cell>
          <cell r="S360" t="str">
            <v>Home Decor</v>
          </cell>
          <cell r="T360" t="str">
            <v>Furniture</v>
          </cell>
          <cell r="U360" t="str">
            <v>Home Decor</v>
          </cell>
          <cell r="V360" t="str">
            <v>Average</v>
          </cell>
          <cell r="W360" t="str">
            <v>Average</v>
          </cell>
          <cell r="X360" t="str">
            <v>Same-Day</v>
          </cell>
          <cell r="Y360">
            <v>2</v>
          </cell>
          <cell r="Z360">
            <v>2</v>
          </cell>
        </row>
        <row r="361">
          <cell r="A361">
            <v>7476905</v>
          </cell>
          <cell r="B361">
            <v>33107</v>
          </cell>
          <cell r="C361" t="str">
            <v>Brittany Munoz</v>
          </cell>
          <cell r="D361" t="str">
            <v>Portsmouth</v>
          </cell>
          <cell r="E361" t="str">
            <v>England</v>
          </cell>
          <cell r="F361" t="str">
            <v>UK</v>
          </cell>
          <cell r="G361">
            <v>57</v>
          </cell>
          <cell r="H361">
            <v>57</v>
          </cell>
          <cell r="I361" t="str">
            <v>Male</v>
          </cell>
          <cell r="J361" t="str">
            <v>Male</v>
          </cell>
          <cell r="K361" t="str">
            <v>Medium</v>
          </cell>
          <cell r="L361" t="str">
            <v>Regular</v>
          </cell>
          <cell r="M361">
            <v>45286</v>
          </cell>
          <cell r="N361">
            <v>7</v>
          </cell>
          <cell r="O361">
            <v>7</v>
          </cell>
          <cell r="P361">
            <v>413.60966830000001</v>
          </cell>
          <cell r="Q361">
            <v>2895.2676780000002</v>
          </cell>
          <cell r="R361" t="str">
            <v>Clothing</v>
          </cell>
          <cell r="S361" t="str">
            <v>Clothing</v>
          </cell>
          <cell r="T361" t="str">
            <v>Shoes</v>
          </cell>
          <cell r="U361" t="str">
            <v>Clothing</v>
          </cell>
          <cell r="V361" t="str">
            <v>Excellent</v>
          </cell>
          <cell r="W361" t="str">
            <v>Excellent</v>
          </cell>
          <cell r="X361" t="str">
            <v>Same-Day</v>
          </cell>
          <cell r="Y361">
            <v>5</v>
          </cell>
          <cell r="Z361">
            <v>5</v>
          </cell>
        </row>
        <row r="362">
          <cell r="A362">
            <v>8336265</v>
          </cell>
          <cell r="B362">
            <v>13081</v>
          </cell>
          <cell r="C362" t="str">
            <v>Carolyn Johnson</v>
          </cell>
          <cell r="D362" t="str">
            <v>Portsmouth</v>
          </cell>
          <cell r="E362" t="str">
            <v>England</v>
          </cell>
          <cell r="F362" t="str">
            <v>UK</v>
          </cell>
          <cell r="G362">
            <v>29</v>
          </cell>
          <cell r="H362">
            <v>29</v>
          </cell>
          <cell r="I362" t="str">
            <v>Female</v>
          </cell>
          <cell r="J362" t="str">
            <v>Female</v>
          </cell>
          <cell r="K362" t="str">
            <v>Medium</v>
          </cell>
          <cell r="L362" t="str">
            <v>Regular</v>
          </cell>
          <cell r="M362">
            <v>45322</v>
          </cell>
          <cell r="N362">
            <v>7</v>
          </cell>
          <cell r="O362">
            <v>7</v>
          </cell>
          <cell r="P362">
            <v>196.2180008</v>
          </cell>
          <cell r="Q362">
            <v>1373.5260060000001</v>
          </cell>
          <cell r="R362" t="str">
            <v>Home Decor</v>
          </cell>
          <cell r="S362" t="str">
            <v>Home Decor</v>
          </cell>
          <cell r="T362" t="str">
            <v>Tools</v>
          </cell>
          <cell r="U362" t="str">
            <v>Home Decor</v>
          </cell>
          <cell r="V362" t="str">
            <v>Bad</v>
          </cell>
          <cell r="W362" t="str">
            <v>Bad</v>
          </cell>
          <cell r="X362" t="str">
            <v>Express</v>
          </cell>
          <cell r="Y362">
            <v>1</v>
          </cell>
          <cell r="Z362">
            <v>1</v>
          </cell>
        </row>
        <row r="363">
          <cell r="A363">
            <v>7029006</v>
          </cell>
          <cell r="B363">
            <v>17458</v>
          </cell>
          <cell r="C363" t="str">
            <v>Tracy Morrison</v>
          </cell>
          <cell r="D363" t="str">
            <v>Portsmouth</v>
          </cell>
          <cell r="E363" t="str">
            <v>England</v>
          </cell>
          <cell r="F363" t="str">
            <v>UK</v>
          </cell>
          <cell r="G363">
            <v>44</v>
          </cell>
          <cell r="H363">
            <v>44</v>
          </cell>
          <cell r="I363" t="str">
            <v>Male</v>
          </cell>
          <cell r="J363" t="str">
            <v>Male</v>
          </cell>
          <cell r="K363" t="str">
            <v>Low</v>
          </cell>
          <cell r="L363" t="str">
            <v>Regular</v>
          </cell>
          <cell r="M363">
            <v>45273</v>
          </cell>
          <cell r="N363">
            <v>5</v>
          </cell>
          <cell r="O363">
            <v>5</v>
          </cell>
          <cell r="P363">
            <v>233.61145719999999</v>
          </cell>
          <cell r="Q363">
            <v>1168.057286</v>
          </cell>
          <cell r="R363" t="str">
            <v>Home Decor</v>
          </cell>
          <cell r="S363" t="str">
            <v>Home Decor</v>
          </cell>
          <cell r="T363" t="str">
            <v>Furniture</v>
          </cell>
          <cell r="U363" t="str">
            <v>Home Decor</v>
          </cell>
          <cell r="V363" t="str">
            <v>Excellent</v>
          </cell>
          <cell r="W363" t="str">
            <v>Excellent</v>
          </cell>
          <cell r="X363" t="str">
            <v>Express</v>
          </cell>
          <cell r="Y363">
            <v>4</v>
          </cell>
          <cell r="Z363">
            <v>4</v>
          </cell>
        </row>
        <row r="364">
          <cell r="A364">
            <v>3752112</v>
          </cell>
          <cell r="B364">
            <v>28830</v>
          </cell>
          <cell r="C364" t="str">
            <v>Patricia Thompson</v>
          </cell>
          <cell r="D364" t="str">
            <v>Portsmouth</v>
          </cell>
          <cell r="E364" t="str">
            <v>England</v>
          </cell>
          <cell r="F364" t="str">
            <v>UK</v>
          </cell>
          <cell r="G364">
            <v>34</v>
          </cell>
          <cell r="H364">
            <v>34</v>
          </cell>
          <cell r="I364" t="str">
            <v>Male</v>
          </cell>
          <cell r="J364" t="str">
            <v>Male</v>
          </cell>
          <cell r="K364" t="str">
            <v>Medium</v>
          </cell>
          <cell r="L364" t="str">
            <v>Regular</v>
          </cell>
          <cell r="M364">
            <v>45264</v>
          </cell>
          <cell r="N364">
            <v>1</v>
          </cell>
          <cell r="O364">
            <v>1</v>
          </cell>
          <cell r="P364">
            <v>297.07786929999997</v>
          </cell>
          <cell r="Q364">
            <v>297.07786929999997</v>
          </cell>
          <cell r="R364" t="str">
            <v>Books</v>
          </cell>
          <cell r="S364" t="str">
            <v>Books</v>
          </cell>
          <cell r="T364" t="str">
            <v>Non-Fiction</v>
          </cell>
          <cell r="U364" t="str">
            <v>Books</v>
          </cell>
          <cell r="V364" t="str">
            <v>Excellent</v>
          </cell>
          <cell r="W364" t="str">
            <v>Excellent</v>
          </cell>
          <cell r="X364" t="str">
            <v>Express</v>
          </cell>
          <cell r="Y364">
            <v>4</v>
          </cell>
          <cell r="Z364">
            <v>4</v>
          </cell>
        </row>
        <row r="365">
          <cell r="A365">
            <v>4138405</v>
          </cell>
          <cell r="B365">
            <v>77374</v>
          </cell>
          <cell r="C365" t="str">
            <v>Crystal Vasquez</v>
          </cell>
          <cell r="D365" t="str">
            <v>Portsmouth</v>
          </cell>
          <cell r="E365" t="str">
            <v>England</v>
          </cell>
          <cell r="F365" t="str">
            <v>UK</v>
          </cell>
          <cell r="G365">
            <v>23</v>
          </cell>
          <cell r="H365">
            <v>23</v>
          </cell>
          <cell r="I365" t="str">
            <v>Female</v>
          </cell>
          <cell r="J365" t="str">
            <v>Female</v>
          </cell>
          <cell r="K365" t="str">
            <v>High</v>
          </cell>
          <cell r="L365" t="str">
            <v>Regular</v>
          </cell>
          <cell r="M365">
            <v>45193</v>
          </cell>
          <cell r="N365">
            <v>1</v>
          </cell>
          <cell r="O365">
            <v>1</v>
          </cell>
          <cell r="P365">
            <v>179.71356840000001</v>
          </cell>
          <cell r="Q365">
            <v>179.71356840000001</v>
          </cell>
          <cell r="R365" t="str">
            <v>Electronics</v>
          </cell>
          <cell r="S365" t="str">
            <v>Electronics</v>
          </cell>
          <cell r="T365" t="str">
            <v>Television</v>
          </cell>
          <cell r="U365" t="str">
            <v>Electronics</v>
          </cell>
          <cell r="V365" t="str">
            <v>Good</v>
          </cell>
          <cell r="W365" t="str">
            <v>Good</v>
          </cell>
          <cell r="X365" t="str">
            <v>Standard</v>
          </cell>
          <cell r="Y365">
            <v>4</v>
          </cell>
          <cell r="Z365">
            <v>4</v>
          </cell>
        </row>
        <row r="366">
          <cell r="A366">
            <v>4110889</v>
          </cell>
          <cell r="B366">
            <v>15891</v>
          </cell>
          <cell r="C366" t="str">
            <v>Sue Parker</v>
          </cell>
          <cell r="D366" t="str">
            <v>Portsmouth</v>
          </cell>
          <cell r="E366" t="str">
            <v>England</v>
          </cell>
          <cell r="F366" t="str">
            <v>UK</v>
          </cell>
          <cell r="G366">
            <v>35</v>
          </cell>
          <cell r="H366">
            <v>35</v>
          </cell>
          <cell r="I366" t="str">
            <v>Male</v>
          </cell>
          <cell r="J366" t="str">
            <v>Male</v>
          </cell>
          <cell r="K366" t="str">
            <v>Medium</v>
          </cell>
          <cell r="L366" t="str">
            <v>Regular</v>
          </cell>
          <cell r="M366">
            <v>45034</v>
          </cell>
          <cell r="N366">
            <v>1</v>
          </cell>
          <cell r="O366">
            <v>1</v>
          </cell>
          <cell r="P366">
            <v>481.25794130000003</v>
          </cell>
          <cell r="Q366">
            <v>481.25794130000003</v>
          </cell>
          <cell r="R366" t="str">
            <v>Grocery</v>
          </cell>
          <cell r="S366" t="str">
            <v>Grocery</v>
          </cell>
          <cell r="T366" t="str">
            <v>Soft Drink</v>
          </cell>
          <cell r="U366" t="str">
            <v>Grocery</v>
          </cell>
          <cell r="V366" t="str">
            <v>Average</v>
          </cell>
          <cell r="W366" t="str">
            <v>Average</v>
          </cell>
          <cell r="X366" t="str">
            <v>Same-Day</v>
          </cell>
          <cell r="Y366">
            <v>2</v>
          </cell>
          <cell r="Z366">
            <v>2</v>
          </cell>
        </row>
        <row r="367">
          <cell r="A367">
            <v>6343277</v>
          </cell>
          <cell r="B367">
            <v>98301</v>
          </cell>
          <cell r="C367" t="str">
            <v>David Gill</v>
          </cell>
          <cell r="D367" t="str">
            <v>Portsmouth</v>
          </cell>
          <cell r="E367" t="str">
            <v>England</v>
          </cell>
          <cell r="F367" t="str">
            <v>UK</v>
          </cell>
          <cell r="G367">
            <v>20</v>
          </cell>
          <cell r="H367">
            <v>20</v>
          </cell>
          <cell r="I367" t="str">
            <v>Male</v>
          </cell>
          <cell r="J367" t="str">
            <v>Male</v>
          </cell>
          <cell r="K367" t="str">
            <v>Low</v>
          </cell>
          <cell r="L367" t="str">
            <v>Regular</v>
          </cell>
          <cell r="M367">
            <v>45012</v>
          </cell>
          <cell r="N367">
            <v>1</v>
          </cell>
          <cell r="O367">
            <v>1</v>
          </cell>
          <cell r="P367">
            <v>196.9273522</v>
          </cell>
          <cell r="Q367">
            <v>196.9273522</v>
          </cell>
          <cell r="R367" t="str">
            <v>Books</v>
          </cell>
          <cell r="S367" t="str">
            <v>Books</v>
          </cell>
          <cell r="T367" t="str">
            <v>Non-Fiction</v>
          </cell>
          <cell r="U367" t="str">
            <v>Books</v>
          </cell>
          <cell r="V367" t="str">
            <v>Good</v>
          </cell>
          <cell r="W367" t="str">
            <v>Good</v>
          </cell>
          <cell r="X367" t="str">
            <v>Same-Day</v>
          </cell>
          <cell r="Y367">
            <v>3</v>
          </cell>
          <cell r="Z367">
            <v>3</v>
          </cell>
        </row>
        <row r="368">
          <cell r="A368">
            <v>8274674</v>
          </cell>
          <cell r="B368">
            <v>14091</v>
          </cell>
          <cell r="C368" t="str">
            <v>Gary Murphy</v>
          </cell>
          <cell r="D368" t="str">
            <v>Portsmouth</v>
          </cell>
          <cell r="E368" t="str">
            <v>England</v>
          </cell>
          <cell r="F368" t="str">
            <v>UK</v>
          </cell>
          <cell r="G368">
            <v>24</v>
          </cell>
          <cell r="H368">
            <v>24</v>
          </cell>
          <cell r="I368" t="str">
            <v>Male</v>
          </cell>
          <cell r="J368" t="str">
            <v>Male</v>
          </cell>
          <cell r="K368" t="str">
            <v>Low</v>
          </cell>
          <cell r="L368" t="str">
            <v>Regular</v>
          </cell>
          <cell r="M368">
            <v>45043</v>
          </cell>
          <cell r="N368">
            <v>9</v>
          </cell>
          <cell r="O368">
            <v>9</v>
          </cell>
          <cell r="P368">
            <v>469.90135750000002</v>
          </cell>
          <cell r="Q368">
            <v>4229.1122169999999</v>
          </cell>
          <cell r="R368" t="str">
            <v>Electronics</v>
          </cell>
          <cell r="S368" t="str">
            <v>Electronics</v>
          </cell>
          <cell r="T368" t="str">
            <v>Tablet</v>
          </cell>
          <cell r="U368" t="str">
            <v>Electronics</v>
          </cell>
          <cell r="V368" t="str">
            <v>Good</v>
          </cell>
          <cell r="W368" t="str">
            <v>Good</v>
          </cell>
          <cell r="X368" t="str">
            <v>Same-Day</v>
          </cell>
          <cell r="Y368">
            <v>3</v>
          </cell>
          <cell r="Z368">
            <v>3</v>
          </cell>
        </row>
        <row r="369">
          <cell r="A369">
            <v>4207988</v>
          </cell>
          <cell r="B369">
            <v>17065</v>
          </cell>
          <cell r="C369" t="str">
            <v>Darrell Smith</v>
          </cell>
          <cell r="D369" t="str">
            <v>Portsmouth</v>
          </cell>
          <cell r="E369" t="str">
            <v>England</v>
          </cell>
          <cell r="F369" t="str">
            <v>UK</v>
          </cell>
          <cell r="G369">
            <v>30</v>
          </cell>
          <cell r="H369">
            <v>30</v>
          </cell>
          <cell r="I369" t="str">
            <v>Male</v>
          </cell>
          <cell r="J369" t="str">
            <v>Male</v>
          </cell>
          <cell r="K369" t="str">
            <v>Medium</v>
          </cell>
          <cell r="L369" t="str">
            <v>Regular</v>
          </cell>
          <cell r="M369">
            <v>45334</v>
          </cell>
          <cell r="N369">
            <v>3</v>
          </cell>
          <cell r="O369">
            <v>3</v>
          </cell>
          <cell r="P369">
            <v>229.7945618</v>
          </cell>
          <cell r="Q369">
            <v>689.38368549999996</v>
          </cell>
          <cell r="R369" t="str">
            <v>Grocery</v>
          </cell>
          <cell r="S369" t="str">
            <v>Grocery</v>
          </cell>
          <cell r="T369" t="str">
            <v>Water</v>
          </cell>
          <cell r="U369" t="str">
            <v>Grocery</v>
          </cell>
          <cell r="V369" t="str">
            <v>Bad</v>
          </cell>
          <cell r="W369" t="str">
            <v>Bad</v>
          </cell>
          <cell r="X369" t="str">
            <v>Express</v>
          </cell>
          <cell r="Y369">
            <v>1</v>
          </cell>
          <cell r="Z369">
            <v>1</v>
          </cell>
        </row>
        <row r="370">
          <cell r="A370">
            <v>4530973</v>
          </cell>
          <cell r="B370">
            <v>87673</v>
          </cell>
          <cell r="C370" t="str">
            <v>Cheryl York</v>
          </cell>
          <cell r="D370" t="str">
            <v>Portsmouth</v>
          </cell>
          <cell r="E370" t="str">
            <v>England</v>
          </cell>
          <cell r="F370" t="str">
            <v>UK</v>
          </cell>
          <cell r="G370">
            <v>19</v>
          </cell>
          <cell r="H370">
            <v>19</v>
          </cell>
          <cell r="I370" t="str">
            <v>Female</v>
          </cell>
          <cell r="J370" t="str">
            <v>Female</v>
          </cell>
          <cell r="K370" t="str">
            <v>Medium</v>
          </cell>
          <cell r="L370" t="str">
            <v>Regular</v>
          </cell>
          <cell r="M370">
            <v>44989</v>
          </cell>
          <cell r="N370">
            <v>3</v>
          </cell>
          <cell r="O370">
            <v>3</v>
          </cell>
          <cell r="P370">
            <v>397.69263919999997</v>
          </cell>
          <cell r="Q370">
            <v>1193.077918</v>
          </cell>
          <cell r="R370" t="str">
            <v>Electronics</v>
          </cell>
          <cell r="S370" t="str">
            <v>Electronics</v>
          </cell>
          <cell r="T370" t="str">
            <v>Smartphone</v>
          </cell>
          <cell r="U370" t="str">
            <v>Electronics</v>
          </cell>
          <cell r="V370" t="str">
            <v>Average</v>
          </cell>
          <cell r="W370" t="str">
            <v>Average</v>
          </cell>
          <cell r="X370" t="str">
            <v>Same-Day</v>
          </cell>
          <cell r="Y370">
            <v>2</v>
          </cell>
          <cell r="Z370">
            <v>2</v>
          </cell>
        </row>
        <row r="371">
          <cell r="A371">
            <v>6650035</v>
          </cell>
          <cell r="B371">
            <v>17901</v>
          </cell>
          <cell r="C371" t="str">
            <v>William Carrillo</v>
          </cell>
          <cell r="D371" t="str">
            <v>Portsmouth</v>
          </cell>
          <cell r="E371" t="str">
            <v>England</v>
          </cell>
          <cell r="F371" t="str">
            <v>UK</v>
          </cell>
          <cell r="G371">
            <v>60</v>
          </cell>
          <cell r="H371">
            <v>60</v>
          </cell>
          <cell r="I371" t="str">
            <v>Male</v>
          </cell>
          <cell r="J371" t="str">
            <v>Male</v>
          </cell>
          <cell r="K371" t="str">
            <v>Low</v>
          </cell>
          <cell r="L371" t="str">
            <v>Regular</v>
          </cell>
          <cell r="M371">
            <v>45191</v>
          </cell>
          <cell r="N371">
            <v>7</v>
          </cell>
          <cell r="O371">
            <v>7</v>
          </cell>
          <cell r="P371">
            <v>388.1323319</v>
          </cell>
          <cell r="Q371">
            <v>2716.9263230000001</v>
          </cell>
          <cell r="R371" t="str">
            <v>Home Decor</v>
          </cell>
          <cell r="S371" t="str">
            <v>Home Decor</v>
          </cell>
          <cell r="T371" t="str">
            <v>Furniture</v>
          </cell>
          <cell r="U371" t="str">
            <v>Home Decor</v>
          </cell>
          <cell r="V371" t="str">
            <v>Average</v>
          </cell>
          <cell r="W371" t="str">
            <v>Average</v>
          </cell>
          <cell r="X371" t="str">
            <v>Standard</v>
          </cell>
          <cell r="Y371">
            <v>2</v>
          </cell>
          <cell r="Z371">
            <v>2</v>
          </cell>
        </row>
        <row r="372">
          <cell r="A372">
            <v>9302527</v>
          </cell>
          <cell r="B372">
            <v>49047</v>
          </cell>
          <cell r="C372" t="str">
            <v>Lori Nelson</v>
          </cell>
          <cell r="D372" t="str">
            <v>Portsmouth</v>
          </cell>
          <cell r="E372" t="str">
            <v>England</v>
          </cell>
          <cell r="F372" t="str">
            <v>UK</v>
          </cell>
          <cell r="G372">
            <v>28</v>
          </cell>
          <cell r="H372">
            <v>28</v>
          </cell>
          <cell r="I372" t="str">
            <v>Male</v>
          </cell>
          <cell r="J372" t="str">
            <v>Male</v>
          </cell>
          <cell r="K372" t="str">
            <v>Medium</v>
          </cell>
          <cell r="L372" t="str">
            <v>Regular</v>
          </cell>
          <cell r="M372">
            <v>45172</v>
          </cell>
          <cell r="N372">
            <v>7</v>
          </cell>
          <cell r="O372">
            <v>7</v>
          </cell>
          <cell r="P372">
            <v>258.43806999999998</v>
          </cell>
          <cell r="Q372">
            <v>1809.0664899999999</v>
          </cell>
          <cell r="R372" t="str">
            <v>Home Decor</v>
          </cell>
          <cell r="S372" t="str">
            <v>Home Decor</v>
          </cell>
          <cell r="T372" t="str">
            <v>Bedding</v>
          </cell>
          <cell r="U372" t="str">
            <v>Home Decor</v>
          </cell>
          <cell r="V372" t="str">
            <v>Bad</v>
          </cell>
          <cell r="W372" t="str">
            <v>Bad</v>
          </cell>
          <cell r="X372" t="str">
            <v>Express</v>
          </cell>
          <cell r="Y372">
            <v>1</v>
          </cell>
          <cell r="Z372">
            <v>1</v>
          </cell>
        </row>
        <row r="373">
          <cell r="A373">
            <v>1175370</v>
          </cell>
          <cell r="B373">
            <v>77311</v>
          </cell>
          <cell r="C373" t="str">
            <v>Deanna Miller</v>
          </cell>
          <cell r="D373" t="str">
            <v>Portsmouth</v>
          </cell>
          <cell r="E373" t="str">
            <v>England</v>
          </cell>
          <cell r="F373" t="str">
            <v>UK</v>
          </cell>
          <cell r="G373">
            <v>44</v>
          </cell>
          <cell r="H373">
            <v>44</v>
          </cell>
          <cell r="I373" t="str">
            <v>Female</v>
          </cell>
          <cell r="J373" t="str">
            <v>Female</v>
          </cell>
          <cell r="K373" t="str">
            <v>Medium</v>
          </cell>
          <cell r="L373" t="str">
            <v>Regular</v>
          </cell>
          <cell r="M373">
            <v>45317</v>
          </cell>
          <cell r="N373">
            <v>7</v>
          </cell>
          <cell r="O373">
            <v>7</v>
          </cell>
          <cell r="P373">
            <v>441.30493209999997</v>
          </cell>
          <cell r="Q373">
            <v>3089.1345249999999</v>
          </cell>
          <cell r="R373" t="str">
            <v>Electronics</v>
          </cell>
          <cell r="S373" t="str">
            <v>Electronics</v>
          </cell>
          <cell r="T373" t="str">
            <v>Laptop</v>
          </cell>
          <cell r="U373" t="str">
            <v>Electronics</v>
          </cell>
          <cell r="V373" t="str">
            <v>Excellent</v>
          </cell>
          <cell r="W373" t="str">
            <v>Excellent</v>
          </cell>
          <cell r="X373" t="str">
            <v>Express</v>
          </cell>
          <cell r="Y373">
            <v>5</v>
          </cell>
          <cell r="Z373">
            <v>5</v>
          </cell>
        </row>
        <row r="374">
          <cell r="A374">
            <v>4832261</v>
          </cell>
          <cell r="B374">
            <v>38047</v>
          </cell>
          <cell r="C374" t="str">
            <v>Brittany Williams</v>
          </cell>
          <cell r="D374" t="str">
            <v>Portsmouth</v>
          </cell>
          <cell r="E374" t="str">
            <v>England</v>
          </cell>
          <cell r="F374" t="str">
            <v>UK</v>
          </cell>
          <cell r="G374">
            <v>67</v>
          </cell>
          <cell r="H374">
            <v>67</v>
          </cell>
          <cell r="I374" t="str">
            <v>Male</v>
          </cell>
          <cell r="J374" t="str">
            <v>Male</v>
          </cell>
          <cell r="K374" t="str">
            <v>Low</v>
          </cell>
          <cell r="L374" t="str">
            <v>Regular</v>
          </cell>
          <cell r="M374">
            <v>45317</v>
          </cell>
          <cell r="N374">
            <v>3</v>
          </cell>
          <cell r="O374">
            <v>3</v>
          </cell>
          <cell r="P374">
            <v>317.12894080000001</v>
          </cell>
          <cell r="Q374">
            <v>951.38682249999999</v>
          </cell>
          <cell r="R374" t="str">
            <v>Grocery</v>
          </cell>
          <cell r="S374" t="str">
            <v>Grocery</v>
          </cell>
          <cell r="T374" t="str">
            <v>Chocolate</v>
          </cell>
          <cell r="U374" t="str">
            <v>Grocery</v>
          </cell>
          <cell r="V374" t="str">
            <v>Bad</v>
          </cell>
          <cell r="W374" t="str">
            <v>Bad</v>
          </cell>
          <cell r="X374" t="str">
            <v>Same-Day</v>
          </cell>
          <cell r="Y374">
            <v>1</v>
          </cell>
          <cell r="Z374">
            <v>1</v>
          </cell>
        </row>
        <row r="375">
          <cell r="A375">
            <v>8305001</v>
          </cell>
          <cell r="B375">
            <v>45455</v>
          </cell>
          <cell r="C375" t="str">
            <v>Richard Lee</v>
          </cell>
          <cell r="D375" t="str">
            <v>Portsmouth</v>
          </cell>
          <cell r="E375" t="str">
            <v>England</v>
          </cell>
          <cell r="F375" t="str">
            <v>UK</v>
          </cell>
          <cell r="G375">
            <v>41</v>
          </cell>
          <cell r="H375">
            <v>41</v>
          </cell>
          <cell r="I375" t="str">
            <v>Male</v>
          </cell>
          <cell r="J375" t="str">
            <v>Male</v>
          </cell>
          <cell r="K375" t="str">
            <v>High</v>
          </cell>
          <cell r="L375" t="str">
            <v>Regular</v>
          </cell>
          <cell r="M375">
            <v>44995</v>
          </cell>
          <cell r="N375">
            <v>7</v>
          </cell>
          <cell r="O375">
            <v>7</v>
          </cell>
          <cell r="P375">
            <v>103.5787378</v>
          </cell>
          <cell r="Q375">
            <v>725.05116429999998</v>
          </cell>
          <cell r="R375" t="str">
            <v>Clothing</v>
          </cell>
          <cell r="S375" t="str">
            <v>Clothing</v>
          </cell>
          <cell r="T375" t="str">
            <v>T-shirt</v>
          </cell>
          <cell r="U375" t="str">
            <v>Clothing</v>
          </cell>
          <cell r="V375" t="str">
            <v>Good</v>
          </cell>
          <cell r="W375" t="str">
            <v>Good</v>
          </cell>
          <cell r="X375" t="str">
            <v>Same-Day</v>
          </cell>
          <cell r="Y375">
            <v>4</v>
          </cell>
          <cell r="Z375">
            <v>4</v>
          </cell>
        </row>
        <row r="376">
          <cell r="A376">
            <v>3143821</v>
          </cell>
          <cell r="B376">
            <v>64636</v>
          </cell>
          <cell r="C376" t="str">
            <v>Kelly Molina</v>
          </cell>
          <cell r="D376" t="str">
            <v>Portsmouth</v>
          </cell>
          <cell r="E376" t="str">
            <v>England</v>
          </cell>
          <cell r="F376" t="str">
            <v>UK</v>
          </cell>
          <cell r="G376">
            <v>41</v>
          </cell>
          <cell r="H376">
            <v>41</v>
          </cell>
          <cell r="I376" t="str">
            <v>Male</v>
          </cell>
          <cell r="J376" t="str">
            <v>Male</v>
          </cell>
          <cell r="K376" t="str">
            <v>High</v>
          </cell>
          <cell r="L376" t="str">
            <v>Regular</v>
          </cell>
          <cell r="M376">
            <v>45317</v>
          </cell>
          <cell r="N376">
            <v>8</v>
          </cell>
          <cell r="O376">
            <v>8</v>
          </cell>
          <cell r="P376">
            <v>240.4722572</v>
          </cell>
          <cell r="Q376">
            <v>1923.7780580000001</v>
          </cell>
          <cell r="R376" t="str">
            <v>Grocery</v>
          </cell>
          <cell r="S376" t="str">
            <v>Grocery</v>
          </cell>
          <cell r="T376" t="str">
            <v>Soft Drink</v>
          </cell>
          <cell r="U376" t="str">
            <v>Grocery</v>
          </cell>
          <cell r="V376" t="str">
            <v>Average</v>
          </cell>
          <cell r="W376" t="str">
            <v>Average</v>
          </cell>
          <cell r="X376" t="str">
            <v>Express</v>
          </cell>
          <cell r="Y376">
            <v>2</v>
          </cell>
          <cell r="Z376">
            <v>2</v>
          </cell>
        </row>
        <row r="377">
          <cell r="A377">
            <v>8780917</v>
          </cell>
          <cell r="B377">
            <v>82551</v>
          </cell>
          <cell r="C377" t="str">
            <v>April Scott</v>
          </cell>
          <cell r="D377" t="str">
            <v>Portsmouth</v>
          </cell>
          <cell r="E377" t="str">
            <v>England</v>
          </cell>
          <cell r="F377" t="str">
            <v>UK</v>
          </cell>
          <cell r="G377">
            <v>36</v>
          </cell>
          <cell r="H377">
            <v>36</v>
          </cell>
          <cell r="I377" t="str">
            <v>Female</v>
          </cell>
          <cell r="J377" t="str">
            <v>Female</v>
          </cell>
          <cell r="K377" t="str">
            <v>Medium</v>
          </cell>
          <cell r="L377" t="str">
            <v>Regular</v>
          </cell>
          <cell r="M377">
            <v>45153</v>
          </cell>
          <cell r="N377">
            <v>7</v>
          </cell>
          <cell r="O377">
            <v>7</v>
          </cell>
          <cell r="P377">
            <v>355.09029399999997</v>
          </cell>
          <cell r="Q377">
            <v>2485.6320580000001</v>
          </cell>
          <cell r="R377" t="str">
            <v>Grocery</v>
          </cell>
          <cell r="S377" t="str">
            <v>Grocery</v>
          </cell>
          <cell r="T377" t="str">
            <v>Juice</v>
          </cell>
          <cell r="U377" t="str">
            <v>Grocery</v>
          </cell>
          <cell r="V377" t="str">
            <v>Good</v>
          </cell>
          <cell r="W377" t="str">
            <v>Good</v>
          </cell>
          <cell r="X377" t="str">
            <v>Express</v>
          </cell>
          <cell r="Y377">
            <v>3</v>
          </cell>
          <cell r="Z377">
            <v>3</v>
          </cell>
        </row>
        <row r="378">
          <cell r="A378">
            <v>2821321</v>
          </cell>
          <cell r="B378">
            <v>83578</v>
          </cell>
          <cell r="C378" t="str">
            <v>Heather Reed</v>
          </cell>
          <cell r="D378" t="str">
            <v>Portsmouth</v>
          </cell>
          <cell r="E378" t="str">
            <v>England</v>
          </cell>
          <cell r="F378" t="str">
            <v>UK</v>
          </cell>
          <cell r="G378">
            <v>51</v>
          </cell>
          <cell r="H378">
            <v>51</v>
          </cell>
          <cell r="I378" t="str">
            <v>Female</v>
          </cell>
          <cell r="J378" t="str">
            <v>Female</v>
          </cell>
          <cell r="K378" t="str">
            <v>Low</v>
          </cell>
          <cell r="L378" t="str">
            <v>Regular</v>
          </cell>
          <cell r="M378">
            <v>45265</v>
          </cell>
          <cell r="N378">
            <v>9</v>
          </cell>
          <cell r="O378">
            <v>9</v>
          </cell>
          <cell r="P378">
            <v>474.17841099999998</v>
          </cell>
          <cell r="Q378">
            <v>4267.6056989999997</v>
          </cell>
          <cell r="R378" t="str">
            <v>Grocery</v>
          </cell>
          <cell r="S378" t="str">
            <v>Grocery</v>
          </cell>
          <cell r="T378" t="str">
            <v>Juice</v>
          </cell>
          <cell r="U378" t="str">
            <v>Grocery</v>
          </cell>
          <cell r="V378" t="str">
            <v>Bad</v>
          </cell>
          <cell r="W378" t="str">
            <v>Bad</v>
          </cell>
          <cell r="X378" t="str">
            <v>Same-Day</v>
          </cell>
          <cell r="Y378">
            <v>1</v>
          </cell>
          <cell r="Z378">
            <v>1</v>
          </cell>
        </row>
        <row r="379">
          <cell r="A379">
            <v>1570299</v>
          </cell>
          <cell r="B379">
            <v>83650</v>
          </cell>
          <cell r="C379" t="str">
            <v>Alexander Padilla</v>
          </cell>
          <cell r="D379" t="str">
            <v>Portsmouth</v>
          </cell>
          <cell r="E379" t="str">
            <v>England</v>
          </cell>
          <cell r="F379" t="str">
            <v>UK</v>
          </cell>
          <cell r="G379">
            <v>46</v>
          </cell>
          <cell r="H379">
            <v>46</v>
          </cell>
          <cell r="I379" t="str">
            <v>Male</v>
          </cell>
          <cell r="J379" t="str">
            <v>Male</v>
          </cell>
          <cell r="K379" t="str">
            <v>Low</v>
          </cell>
          <cell r="L379" t="str">
            <v>Regular</v>
          </cell>
          <cell r="M379">
            <v>45095</v>
          </cell>
          <cell r="N379">
            <v>2</v>
          </cell>
          <cell r="O379">
            <v>2</v>
          </cell>
          <cell r="P379">
            <v>90.655261240000002</v>
          </cell>
          <cell r="Q379">
            <v>181.31052249999999</v>
          </cell>
          <cell r="R379" t="str">
            <v>Home Decor</v>
          </cell>
          <cell r="S379" t="str">
            <v>Home Decor</v>
          </cell>
          <cell r="T379" t="str">
            <v>Lighting</v>
          </cell>
          <cell r="U379" t="str">
            <v>Home Decor</v>
          </cell>
          <cell r="V379" t="str">
            <v>Bad</v>
          </cell>
          <cell r="W379" t="str">
            <v>Bad</v>
          </cell>
          <cell r="X379" t="str">
            <v>Same-Day</v>
          </cell>
          <cell r="Y379">
            <v>1</v>
          </cell>
          <cell r="Z379">
            <v>1</v>
          </cell>
        </row>
        <row r="380">
          <cell r="A380">
            <v>8728095</v>
          </cell>
          <cell r="B380">
            <v>40705</v>
          </cell>
          <cell r="C380" t="str">
            <v>Joanna Thomas</v>
          </cell>
          <cell r="D380" t="str">
            <v>Portsmouth</v>
          </cell>
          <cell r="E380" t="str">
            <v>England</v>
          </cell>
          <cell r="F380" t="str">
            <v>UK</v>
          </cell>
          <cell r="G380">
            <v>36</v>
          </cell>
          <cell r="H380">
            <v>36</v>
          </cell>
          <cell r="I380" t="str">
            <v>Male</v>
          </cell>
          <cell r="J380" t="str">
            <v>Male</v>
          </cell>
          <cell r="K380" t="str">
            <v>Low</v>
          </cell>
          <cell r="L380" t="str">
            <v>Regular</v>
          </cell>
          <cell r="M380">
            <v>44996</v>
          </cell>
          <cell r="N380">
            <v>8</v>
          </cell>
          <cell r="O380">
            <v>8</v>
          </cell>
          <cell r="P380">
            <v>497.53193140000002</v>
          </cell>
          <cell r="Q380">
            <v>3980.255451</v>
          </cell>
          <cell r="R380" t="str">
            <v>Clothing</v>
          </cell>
          <cell r="S380" t="str">
            <v>Clothing</v>
          </cell>
          <cell r="T380" t="str">
            <v>Shirt</v>
          </cell>
          <cell r="U380" t="str">
            <v>Clothing</v>
          </cell>
          <cell r="V380" t="str">
            <v>Bad</v>
          </cell>
          <cell r="W380" t="str">
            <v>Bad</v>
          </cell>
          <cell r="X380" t="str">
            <v>Same-Day</v>
          </cell>
          <cell r="Y380">
            <v>1</v>
          </cell>
          <cell r="Z380">
            <v>1</v>
          </cell>
        </row>
        <row r="381">
          <cell r="A381">
            <v>9420169</v>
          </cell>
          <cell r="B381">
            <v>89029</v>
          </cell>
          <cell r="C381" t="str">
            <v>James Romero</v>
          </cell>
          <cell r="D381" t="str">
            <v>Portsmouth</v>
          </cell>
          <cell r="E381" t="str">
            <v>England</v>
          </cell>
          <cell r="F381" t="str">
            <v>UK</v>
          </cell>
          <cell r="G381">
            <v>53</v>
          </cell>
          <cell r="H381">
            <v>53</v>
          </cell>
          <cell r="I381" t="str">
            <v>Male</v>
          </cell>
          <cell r="J381" t="str">
            <v>Male</v>
          </cell>
          <cell r="K381" t="str">
            <v>Low</v>
          </cell>
          <cell r="L381" t="str">
            <v>Regular</v>
          </cell>
          <cell r="M381">
            <v>45074</v>
          </cell>
          <cell r="N381">
            <v>7</v>
          </cell>
          <cell r="O381">
            <v>7</v>
          </cell>
          <cell r="P381">
            <v>369.04741089999999</v>
          </cell>
          <cell r="Q381">
            <v>2583.3318760000002</v>
          </cell>
          <cell r="R381" t="str">
            <v>Grocery</v>
          </cell>
          <cell r="S381" t="str">
            <v>Grocery</v>
          </cell>
          <cell r="T381" t="str">
            <v>Coffee</v>
          </cell>
          <cell r="U381" t="str">
            <v>Grocery</v>
          </cell>
          <cell r="V381" t="str">
            <v>Average</v>
          </cell>
          <cell r="W381" t="str">
            <v>Average</v>
          </cell>
          <cell r="X381" t="str">
            <v>Express</v>
          </cell>
          <cell r="Y381">
            <v>2</v>
          </cell>
          <cell r="Z381">
            <v>2</v>
          </cell>
        </row>
        <row r="382">
          <cell r="A382">
            <v>6387070</v>
          </cell>
          <cell r="B382">
            <v>93214</v>
          </cell>
          <cell r="C382" t="str">
            <v>Donald Alvarez</v>
          </cell>
          <cell r="D382" t="str">
            <v>Portsmouth</v>
          </cell>
          <cell r="E382" t="str">
            <v>England</v>
          </cell>
          <cell r="F382" t="str">
            <v>UK</v>
          </cell>
          <cell r="G382">
            <v>66</v>
          </cell>
          <cell r="H382">
            <v>66</v>
          </cell>
          <cell r="I382" t="str">
            <v>Male</v>
          </cell>
          <cell r="J382" t="str">
            <v>Male</v>
          </cell>
          <cell r="K382" t="str">
            <v>Medium</v>
          </cell>
          <cell r="L382" t="str">
            <v>Regular</v>
          </cell>
          <cell r="M382">
            <v>45170</v>
          </cell>
          <cell r="N382">
            <v>1</v>
          </cell>
          <cell r="O382">
            <v>1</v>
          </cell>
          <cell r="P382">
            <v>292.24568909999999</v>
          </cell>
          <cell r="Q382">
            <v>292.24568909999999</v>
          </cell>
          <cell r="R382" t="str">
            <v>Clothing</v>
          </cell>
          <cell r="S382" t="str">
            <v>Clothing</v>
          </cell>
          <cell r="T382" t="str">
            <v>Shirt</v>
          </cell>
          <cell r="U382" t="str">
            <v>Clothing</v>
          </cell>
          <cell r="V382" t="str">
            <v>Average</v>
          </cell>
          <cell r="W382" t="str">
            <v>Average</v>
          </cell>
          <cell r="X382" t="str">
            <v>Same-Day</v>
          </cell>
          <cell r="Y382">
            <v>2</v>
          </cell>
          <cell r="Z382">
            <v>2</v>
          </cell>
        </row>
        <row r="383">
          <cell r="A383">
            <v>4143798</v>
          </cell>
          <cell r="B383">
            <v>49192</v>
          </cell>
          <cell r="C383" t="str">
            <v>Steven Miller</v>
          </cell>
          <cell r="D383" t="str">
            <v>Portsmouth</v>
          </cell>
          <cell r="E383" t="str">
            <v>England</v>
          </cell>
          <cell r="F383" t="str">
            <v>UK</v>
          </cell>
          <cell r="G383">
            <v>61</v>
          </cell>
          <cell r="H383">
            <v>61</v>
          </cell>
          <cell r="I383" t="str">
            <v>Male</v>
          </cell>
          <cell r="J383" t="str">
            <v>Male</v>
          </cell>
          <cell r="K383" t="str">
            <v>Medium</v>
          </cell>
          <cell r="L383" t="str">
            <v>Regular</v>
          </cell>
          <cell r="M383">
            <v>45190</v>
          </cell>
          <cell r="N383">
            <v>1</v>
          </cell>
          <cell r="O383">
            <v>1</v>
          </cell>
          <cell r="P383">
            <v>428.05981120000001</v>
          </cell>
          <cell r="Q383">
            <v>428.05981120000001</v>
          </cell>
          <cell r="R383" t="str">
            <v>Books</v>
          </cell>
          <cell r="S383" t="str">
            <v>Books</v>
          </cell>
          <cell r="T383" t="str">
            <v>Children's</v>
          </cell>
          <cell r="U383" t="str">
            <v>Books</v>
          </cell>
          <cell r="V383" t="str">
            <v>Good</v>
          </cell>
          <cell r="W383" t="str">
            <v>Good</v>
          </cell>
          <cell r="X383" t="str">
            <v>Express</v>
          </cell>
          <cell r="Y383">
            <v>4</v>
          </cell>
          <cell r="Z383">
            <v>4</v>
          </cell>
        </row>
        <row r="384">
          <cell r="A384">
            <v>9363644</v>
          </cell>
          <cell r="B384">
            <v>89992</v>
          </cell>
          <cell r="C384" t="str">
            <v>Leah Wilcox</v>
          </cell>
          <cell r="D384" t="str">
            <v>Portsmouth</v>
          </cell>
          <cell r="E384" t="str">
            <v>England</v>
          </cell>
          <cell r="F384" t="str">
            <v>UK</v>
          </cell>
          <cell r="G384">
            <v>47</v>
          </cell>
          <cell r="H384">
            <v>47</v>
          </cell>
          <cell r="I384" t="str">
            <v>Male</v>
          </cell>
          <cell r="J384" t="str">
            <v>Male</v>
          </cell>
          <cell r="K384" t="str">
            <v>Medium</v>
          </cell>
          <cell r="L384" t="str">
            <v>Regular</v>
          </cell>
          <cell r="M384">
            <v>45272</v>
          </cell>
          <cell r="N384">
            <v>6</v>
          </cell>
          <cell r="O384">
            <v>6</v>
          </cell>
          <cell r="P384">
            <v>371.98932630000002</v>
          </cell>
          <cell r="Q384">
            <v>2231.935958</v>
          </cell>
          <cell r="R384" t="str">
            <v>Books</v>
          </cell>
          <cell r="S384" t="str">
            <v>Books</v>
          </cell>
          <cell r="T384" t="str">
            <v>Fiction</v>
          </cell>
          <cell r="U384" t="str">
            <v>Books</v>
          </cell>
          <cell r="V384" t="str">
            <v>Good</v>
          </cell>
          <cell r="W384" t="str">
            <v>Good</v>
          </cell>
          <cell r="X384" t="str">
            <v>Express</v>
          </cell>
          <cell r="Y384">
            <v>3</v>
          </cell>
          <cell r="Z384">
            <v>3</v>
          </cell>
        </row>
        <row r="385">
          <cell r="A385">
            <v>2973546</v>
          </cell>
          <cell r="B385">
            <v>63588</v>
          </cell>
          <cell r="C385" t="str">
            <v>Hector Hampton</v>
          </cell>
          <cell r="D385" t="str">
            <v>Portsmouth</v>
          </cell>
          <cell r="E385" t="str">
            <v>England</v>
          </cell>
          <cell r="F385" t="str">
            <v>UK</v>
          </cell>
          <cell r="G385">
            <v>40</v>
          </cell>
          <cell r="H385">
            <v>40</v>
          </cell>
          <cell r="I385" t="str">
            <v>Female</v>
          </cell>
          <cell r="J385" t="str">
            <v>Female</v>
          </cell>
          <cell r="K385" t="str">
            <v>Low</v>
          </cell>
          <cell r="L385" t="str">
            <v>Regular</v>
          </cell>
          <cell r="M385">
            <v>45213</v>
          </cell>
          <cell r="N385">
            <v>4</v>
          </cell>
          <cell r="O385">
            <v>4</v>
          </cell>
          <cell r="P385">
            <v>388.21224990000002</v>
          </cell>
          <cell r="Q385">
            <v>1552.848999</v>
          </cell>
          <cell r="R385" t="str">
            <v>Electronics</v>
          </cell>
          <cell r="S385" t="str">
            <v>Electronics</v>
          </cell>
          <cell r="T385" t="str">
            <v>Smartphone</v>
          </cell>
          <cell r="U385" t="str">
            <v>Electronics</v>
          </cell>
          <cell r="V385" t="str">
            <v>Good</v>
          </cell>
          <cell r="W385" t="str">
            <v>Good</v>
          </cell>
          <cell r="X385" t="str">
            <v>Same-Day</v>
          </cell>
          <cell r="Y385">
            <v>3</v>
          </cell>
          <cell r="Z385">
            <v>3</v>
          </cell>
        </row>
        <row r="386">
          <cell r="A386">
            <v>3139836</v>
          </cell>
          <cell r="B386">
            <v>38486</v>
          </cell>
          <cell r="C386" t="str">
            <v>Daniel Phillips</v>
          </cell>
          <cell r="D386" t="str">
            <v>Portsmouth</v>
          </cell>
          <cell r="E386" t="str">
            <v>England</v>
          </cell>
          <cell r="F386" t="str">
            <v>UK</v>
          </cell>
          <cell r="G386">
            <v>31</v>
          </cell>
          <cell r="H386">
            <v>31</v>
          </cell>
          <cell r="I386" t="str">
            <v>Female</v>
          </cell>
          <cell r="J386" t="str">
            <v>Female</v>
          </cell>
          <cell r="K386" t="str">
            <v>Medium</v>
          </cell>
          <cell r="L386" t="str">
            <v>Regular</v>
          </cell>
          <cell r="M386">
            <v>45237</v>
          </cell>
          <cell r="N386">
            <v>6</v>
          </cell>
          <cell r="O386">
            <v>6</v>
          </cell>
          <cell r="P386">
            <v>123.6168965</v>
          </cell>
          <cell r="Q386">
            <v>741.70137910000005</v>
          </cell>
          <cell r="R386" t="str">
            <v>Books</v>
          </cell>
          <cell r="S386" t="str">
            <v>Books</v>
          </cell>
          <cell r="T386" t="str">
            <v>Literature</v>
          </cell>
          <cell r="U386" t="str">
            <v>Books</v>
          </cell>
          <cell r="V386" t="str">
            <v>Average</v>
          </cell>
          <cell r="W386" t="str">
            <v>Average</v>
          </cell>
          <cell r="X386" t="str">
            <v>Same-Day</v>
          </cell>
          <cell r="Y386">
            <v>2</v>
          </cell>
          <cell r="Z386">
            <v>2</v>
          </cell>
        </row>
        <row r="387">
          <cell r="A387">
            <v>6023169</v>
          </cell>
          <cell r="B387">
            <v>64153</v>
          </cell>
          <cell r="C387" t="str">
            <v>Joshua Hurley</v>
          </cell>
          <cell r="D387" t="str">
            <v>Portsmouth</v>
          </cell>
          <cell r="E387" t="str">
            <v>England</v>
          </cell>
          <cell r="F387" t="str">
            <v>UK</v>
          </cell>
          <cell r="G387">
            <v>28</v>
          </cell>
          <cell r="H387">
            <v>28</v>
          </cell>
          <cell r="I387" t="str">
            <v>Female</v>
          </cell>
          <cell r="J387" t="str">
            <v>Female</v>
          </cell>
          <cell r="K387" t="str">
            <v>Medium</v>
          </cell>
          <cell r="L387" t="str">
            <v>Regular</v>
          </cell>
          <cell r="M387">
            <v>45279</v>
          </cell>
          <cell r="N387">
            <v>6</v>
          </cell>
          <cell r="O387">
            <v>6</v>
          </cell>
          <cell r="P387">
            <v>204.40173559999999</v>
          </cell>
          <cell r="Q387">
            <v>1226.4104130000001</v>
          </cell>
          <cell r="R387" t="str">
            <v>Books</v>
          </cell>
          <cell r="S387" t="str">
            <v>Books</v>
          </cell>
          <cell r="T387" t="str">
            <v>Thriller</v>
          </cell>
          <cell r="U387" t="str">
            <v>Books</v>
          </cell>
          <cell r="V387" t="str">
            <v>Good</v>
          </cell>
          <cell r="W387" t="str">
            <v>Good</v>
          </cell>
          <cell r="X387" t="str">
            <v>Express</v>
          </cell>
          <cell r="Y387">
            <v>3</v>
          </cell>
          <cell r="Z387">
            <v>3</v>
          </cell>
        </row>
        <row r="388">
          <cell r="A388">
            <v>5707272</v>
          </cell>
          <cell r="B388">
            <v>15992</v>
          </cell>
          <cell r="C388" t="str">
            <v>Katie Sweeney</v>
          </cell>
          <cell r="D388" t="str">
            <v>Portsmouth</v>
          </cell>
          <cell r="E388" t="str">
            <v>England</v>
          </cell>
          <cell r="F388" t="str">
            <v>UK</v>
          </cell>
          <cell r="G388">
            <v>48</v>
          </cell>
          <cell r="H388">
            <v>48</v>
          </cell>
          <cell r="I388" t="str">
            <v>Male</v>
          </cell>
          <cell r="J388" t="str">
            <v>Male</v>
          </cell>
          <cell r="K388" t="str">
            <v>High</v>
          </cell>
          <cell r="L388" t="str">
            <v>Regular</v>
          </cell>
          <cell r="M388">
            <v>45022</v>
          </cell>
          <cell r="N388">
            <v>4</v>
          </cell>
          <cell r="O388">
            <v>4</v>
          </cell>
          <cell r="P388">
            <v>195.2749455</v>
          </cell>
          <cell r="Q388">
            <v>781.099782</v>
          </cell>
          <cell r="R388" t="str">
            <v>Grocery</v>
          </cell>
          <cell r="S388" t="str">
            <v>Grocery</v>
          </cell>
          <cell r="T388" t="str">
            <v>Juice</v>
          </cell>
          <cell r="U388" t="str">
            <v>Grocery</v>
          </cell>
          <cell r="V388" t="str">
            <v>Bad</v>
          </cell>
          <cell r="W388" t="str">
            <v>Bad</v>
          </cell>
          <cell r="X388" t="str">
            <v>Standard</v>
          </cell>
          <cell r="Y388">
            <v>1</v>
          </cell>
          <cell r="Z388">
            <v>1</v>
          </cell>
        </row>
        <row r="389">
          <cell r="A389">
            <v>8342496</v>
          </cell>
          <cell r="B389">
            <v>43083</v>
          </cell>
          <cell r="C389" t="str">
            <v>Raymond Hobbs</v>
          </cell>
          <cell r="D389" t="str">
            <v>Portsmouth</v>
          </cell>
          <cell r="E389" t="str">
            <v>England</v>
          </cell>
          <cell r="F389" t="str">
            <v>UK</v>
          </cell>
          <cell r="G389">
            <v>40</v>
          </cell>
          <cell r="H389">
            <v>40</v>
          </cell>
          <cell r="I389" t="str">
            <v>Male</v>
          </cell>
          <cell r="J389" t="str">
            <v>Male</v>
          </cell>
          <cell r="K389" t="str">
            <v>Low</v>
          </cell>
          <cell r="L389" t="str">
            <v>Regular</v>
          </cell>
          <cell r="M389">
            <v>45054</v>
          </cell>
          <cell r="N389">
            <v>2</v>
          </cell>
          <cell r="O389">
            <v>2</v>
          </cell>
          <cell r="P389">
            <v>158.79170339999999</v>
          </cell>
          <cell r="Q389">
            <v>317.58340670000001</v>
          </cell>
          <cell r="R389" t="str">
            <v>Home Decor</v>
          </cell>
          <cell r="S389" t="str">
            <v>Home Decor</v>
          </cell>
          <cell r="T389" t="str">
            <v>Decorations</v>
          </cell>
          <cell r="U389" t="str">
            <v>Home Decor</v>
          </cell>
          <cell r="V389" t="str">
            <v>Excellent</v>
          </cell>
          <cell r="W389" t="str">
            <v>Excellent</v>
          </cell>
          <cell r="X389" t="str">
            <v>Same-Day</v>
          </cell>
          <cell r="Y389">
            <v>4</v>
          </cell>
          <cell r="Z389">
            <v>4</v>
          </cell>
        </row>
        <row r="390">
          <cell r="A390">
            <v>1944115</v>
          </cell>
          <cell r="B390">
            <v>36536</v>
          </cell>
          <cell r="C390" t="str">
            <v>Jose Velez</v>
          </cell>
          <cell r="D390" t="str">
            <v>Portsmouth</v>
          </cell>
          <cell r="E390" t="str">
            <v>England</v>
          </cell>
          <cell r="F390" t="str">
            <v>UK</v>
          </cell>
          <cell r="G390">
            <v>40</v>
          </cell>
          <cell r="H390">
            <v>40</v>
          </cell>
          <cell r="I390" t="str">
            <v>Male</v>
          </cell>
          <cell r="J390" t="str">
            <v>Male</v>
          </cell>
          <cell r="K390" t="str">
            <v>Low</v>
          </cell>
          <cell r="L390" t="str">
            <v>Regular</v>
          </cell>
          <cell r="M390">
            <v>44993</v>
          </cell>
          <cell r="N390">
            <v>9</v>
          </cell>
          <cell r="O390">
            <v>9</v>
          </cell>
          <cell r="P390">
            <v>148.4692804</v>
          </cell>
          <cell r="Q390">
            <v>1336.223524</v>
          </cell>
          <cell r="R390" t="str">
            <v>Home Decor</v>
          </cell>
          <cell r="S390" t="str">
            <v>Home Decor</v>
          </cell>
          <cell r="T390" t="str">
            <v>Kitchen</v>
          </cell>
          <cell r="U390" t="str">
            <v>Home Decor</v>
          </cell>
          <cell r="V390" t="str">
            <v>Excellent</v>
          </cell>
          <cell r="W390" t="str">
            <v>Excellent</v>
          </cell>
          <cell r="X390" t="str">
            <v>Express</v>
          </cell>
          <cell r="Y390">
            <v>5</v>
          </cell>
          <cell r="Z390">
            <v>5</v>
          </cell>
        </row>
        <row r="391">
          <cell r="A391">
            <v>7637365</v>
          </cell>
          <cell r="B391">
            <v>23631</v>
          </cell>
          <cell r="C391" t="str">
            <v>Rita Ruiz MD</v>
          </cell>
          <cell r="D391" t="str">
            <v>Portsmouth</v>
          </cell>
          <cell r="E391" t="str">
            <v>England</v>
          </cell>
          <cell r="F391" t="str">
            <v>UK</v>
          </cell>
          <cell r="G391">
            <v>48</v>
          </cell>
          <cell r="H391">
            <v>48</v>
          </cell>
          <cell r="I391"/>
          <cell r="J391" t="str">
            <v>unknown</v>
          </cell>
          <cell r="K391" t="str">
            <v>Medium</v>
          </cell>
          <cell r="L391" t="str">
            <v>Regular</v>
          </cell>
          <cell r="M391">
            <v>45351</v>
          </cell>
          <cell r="N391">
            <v>9</v>
          </cell>
          <cell r="O391">
            <v>9</v>
          </cell>
          <cell r="P391">
            <v>159.507104</v>
          </cell>
          <cell r="Q391">
            <v>1435.563936</v>
          </cell>
          <cell r="R391" t="str">
            <v>Electronics</v>
          </cell>
          <cell r="S391" t="str">
            <v>Electronics</v>
          </cell>
          <cell r="T391" t="str">
            <v>Smartphone</v>
          </cell>
          <cell r="U391" t="str">
            <v>Electronics</v>
          </cell>
          <cell r="V391" t="str">
            <v>Excellent</v>
          </cell>
          <cell r="W391" t="str">
            <v>Excellent</v>
          </cell>
          <cell r="X391" t="str">
            <v>Standard</v>
          </cell>
          <cell r="Y391">
            <v>5</v>
          </cell>
          <cell r="Z391">
            <v>5</v>
          </cell>
        </row>
        <row r="392">
          <cell r="A392">
            <v>3830638</v>
          </cell>
          <cell r="B392">
            <v>97323</v>
          </cell>
          <cell r="C392" t="str">
            <v>Matthew Franco</v>
          </cell>
          <cell r="D392" t="str">
            <v>Portsmouth</v>
          </cell>
          <cell r="E392" t="str">
            <v>England</v>
          </cell>
          <cell r="F392" t="str">
            <v>UK</v>
          </cell>
          <cell r="G392">
            <v>37</v>
          </cell>
          <cell r="H392">
            <v>37</v>
          </cell>
          <cell r="I392" t="str">
            <v>Male</v>
          </cell>
          <cell r="J392" t="str">
            <v>Male</v>
          </cell>
          <cell r="K392" t="str">
            <v>Medium</v>
          </cell>
          <cell r="L392" t="str">
            <v>Regular</v>
          </cell>
          <cell r="M392">
            <v>45055</v>
          </cell>
          <cell r="N392">
            <v>6</v>
          </cell>
          <cell r="O392">
            <v>6</v>
          </cell>
          <cell r="P392">
            <v>467.76977399999998</v>
          </cell>
          <cell r="Q392">
            <v>2806.6186440000001</v>
          </cell>
          <cell r="R392" t="str">
            <v>Electronics</v>
          </cell>
          <cell r="S392" t="str">
            <v>Electronics</v>
          </cell>
          <cell r="T392" t="str">
            <v>Smartphone</v>
          </cell>
          <cell r="U392" t="str">
            <v>Electronics</v>
          </cell>
          <cell r="V392" t="str">
            <v>Excellent</v>
          </cell>
          <cell r="W392" t="str">
            <v>Excellent</v>
          </cell>
          <cell r="X392" t="str">
            <v>Express</v>
          </cell>
          <cell r="Y392">
            <v>4</v>
          </cell>
          <cell r="Z392">
            <v>4</v>
          </cell>
        </row>
        <row r="393">
          <cell r="A393">
            <v>6516806</v>
          </cell>
          <cell r="B393">
            <v>27104</v>
          </cell>
          <cell r="C393" t="str">
            <v>Jillian Jackson</v>
          </cell>
          <cell r="D393" t="str">
            <v>Portsmouth</v>
          </cell>
          <cell r="E393" t="str">
            <v>England</v>
          </cell>
          <cell r="F393" t="str">
            <v>UK</v>
          </cell>
          <cell r="G393">
            <v>19</v>
          </cell>
          <cell r="H393">
            <v>19</v>
          </cell>
          <cell r="I393" t="str">
            <v>Female</v>
          </cell>
          <cell r="J393" t="str">
            <v>Female</v>
          </cell>
          <cell r="K393" t="str">
            <v>Low</v>
          </cell>
          <cell r="L393" t="str">
            <v>Regular</v>
          </cell>
          <cell r="M393">
            <v>44996</v>
          </cell>
          <cell r="N393">
            <v>2</v>
          </cell>
          <cell r="O393">
            <v>2</v>
          </cell>
          <cell r="P393">
            <v>76.443200279999999</v>
          </cell>
          <cell r="Q393">
            <v>152.8864006</v>
          </cell>
          <cell r="R393" t="str">
            <v>Books</v>
          </cell>
          <cell r="S393" t="str">
            <v>Books</v>
          </cell>
          <cell r="T393" t="str">
            <v>Children's</v>
          </cell>
          <cell r="U393" t="str">
            <v>Books</v>
          </cell>
          <cell r="V393" t="str">
            <v>Excellent</v>
          </cell>
          <cell r="W393" t="str">
            <v>Excellent</v>
          </cell>
          <cell r="X393" t="str">
            <v>Express</v>
          </cell>
          <cell r="Y393">
            <v>4</v>
          </cell>
          <cell r="Z393">
            <v>4</v>
          </cell>
        </row>
        <row r="394">
          <cell r="A394">
            <v>2690040</v>
          </cell>
          <cell r="B394">
            <v>67876</v>
          </cell>
          <cell r="C394" t="str">
            <v>Teresa Mendoza</v>
          </cell>
          <cell r="D394" t="str">
            <v>Portsmouth</v>
          </cell>
          <cell r="E394" t="str">
            <v>England</v>
          </cell>
          <cell r="F394" t="str">
            <v>UK</v>
          </cell>
          <cell r="G394">
            <v>29</v>
          </cell>
          <cell r="H394">
            <v>29</v>
          </cell>
          <cell r="I394" t="str">
            <v>Male</v>
          </cell>
          <cell r="J394" t="str">
            <v>Male</v>
          </cell>
          <cell r="K394" t="str">
            <v>High</v>
          </cell>
          <cell r="L394" t="str">
            <v>Regular</v>
          </cell>
          <cell r="M394">
            <v>45323</v>
          </cell>
          <cell r="N394">
            <v>2</v>
          </cell>
          <cell r="O394">
            <v>2</v>
          </cell>
          <cell r="P394">
            <v>304.30749379999997</v>
          </cell>
          <cell r="Q394">
            <v>608.61498759999995</v>
          </cell>
          <cell r="R394" t="str">
            <v>Grocery</v>
          </cell>
          <cell r="S394" t="str">
            <v>Grocery</v>
          </cell>
          <cell r="T394" t="str">
            <v>Juice</v>
          </cell>
          <cell r="U394" t="str">
            <v>Grocery</v>
          </cell>
          <cell r="V394" t="str">
            <v>Good</v>
          </cell>
          <cell r="W394" t="str">
            <v>Good</v>
          </cell>
          <cell r="X394" t="str">
            <v>Express</v>
          </cell>
          <cell r="Y394">
            <v>3</v>
          </cell>
          <cell r="Z394">
            <v>3</v>
          </cell>
        </row>
        <row r="395">
          <cell r="A395">
            <v>1209755</v>
          </cell>
          <cell r="B395">
            <v>26917</v>
          </cell>
          <cell r="C395" t="str">
            <v>Monica Santiago</v>
          </cell>
          <cell r="D395" t="str">
            <v>Portsmouth</v>
          </cell>
          <cell r="E395" t="str">
            <v>England</v>
          </cell>
          <cell r="F395" t="str">
            <v>UK</v>
          </cell>
          <cell r="G395">
            <v>53</v>
          </cell>
          <cell r="H395">
            <v>53</v>
          </cell>
          <cell r="I395" t="str">
            <v>Female</v>
          </cell>
          <cell r="J395" t="str">
            <v>Female</v>
          </cell>
          <cell r="K395" t="str">
            <v>Medium</v>
          </cell>
          <cell r="L395" t="str">
            <v>Regular</v>
          </cell>
          <cell r="M395">
            <v>45049</v>
          </cell>
          <cell r="N395">
            <v>6</v>
          </cell>
          <cell r="O395">
            <v>6</v>
          </cell>
          <cell r="P395">
            <v>286.59081379999998</v>
          </cell>
          <cell r="Q395">
            <v>1719.544883</v>
          </cell>
          <cell r="R395" t="str">
            <v>Grocery</v>
          </cell>
          <cell r="S395" t="str">
            <v>Grocery</v>
          </cell>
          <cell r="T395" t="str">
            <v>Juice</v>
          </cell>
          <cell r="U395" t="str">
            <v>Grocery</v>
          </cell>
          <cell r="V395" t="str">
            <v>Excellent</v>
          </cell>
          <cell r="W395" t="str">
            <v>Excellent</v>
          </cell>
          <cell r="X395" t="str">
            <v>Express</v>
          </cell>
          <cell r="Y395">
            <v>5</v>
          </cell>
          <cell r="Z395">
            <v>5</v>
          </cell>
        </row>
        <row r="396">
          <cell r="A396">
            <v>4554224</v>
          </cell>
          <cell r="B396">
            <v>71298</v>
          </cell>
          <cell r="C396" t="str">
            <v>Alicia Brown</v>
          </cell>
          <cell r="D396" t="str">
            <v>Portsmouth</v>
          </cell>
          <cell r="E396" t="str">
            <v>England</v>
          </cell>
          <cell r="F396" t="str">
            <v>UK</v>
          </cell>
          <cell r="G396">
            <v>29</v>
          </cell>
          <cell r="H396">
            <v>29</v>
          </cell>
          <cell r="I396" t="str">
            <v>Male</v>
          </cell>
          <cell r="J396" t="str">
            <v>Male</v>
          </cell>
          <cell r="K396" t="str">
            <v>Medium</v>
          </cell>
          <cell r="L396" t="str">
            <v>Regular</v>
          </cell>
          <cell r="M396">
            <v>45006</v>
          </cell>
          <cell r="N396">
            <v>7</v>
          </cell>
          <cell r="O396">
            <v>7</v>
          </cell>
          <cell r="P396">
            <v>247.76890940000001</v>
          </cell>
          <cell r="Q396">
            <v>1734.382366</v>
          </cell>
          <cell r="R396" t="str">
            <v>Electronics</v>
          </cell>
          <cell r="S396" t="str">
            <v>Electronics</v>
          </cell>
          <cell r="T396" t="str">
            <v>Tablet</v>
          </cell>
          <cell r="U396" t="str">
            <v>Electronics</v>
          </cell>
          <cell r="V396" t="str">
            <v>Excellent</v>
          </cell>
          <cell r="W396" t="str">
            <v>Excellent</v>
          </cell>
          <cell r="X396" t="str">
            <v>Express</v>
          </cell>
          <cell r="Y396">
            <v>5</v>
          </cell>
          <cell r="Z396">
            <v>5</v>
          </cell>
        </row>
        <row r="397">
          <cell r="A397">
            <v>5777205</v>
          </cell>
          <cell r="B397">
            <v>20280</v>
          </cell>
          <cell r="C397" t="str">
            <v>Patrick Joseph</v>
          </cell>
          <cell r="D397" t="str">
            <v>Portsmouth</v>
          </cell>
          <cell r="E397" t="str">
            <v>England</v>
          </cell>
          <cell r="F397" t="str">
            <v>UK</v>
          </cell>
          <cell r="G397">
            <v>23</v>
          </cell>
          <cell r="H397">
            <v>23</v>
          </cell>
          <cell r="I397" t="str">
            <v>Male</v>
          </cell>
          <cell r="J397" t="str">
            <v>Male</v>
          </cell>
          <cell r="K397" t="str">
            <v>Low</v>
          </cell>
          <cell r="L397" t="str">
            <v>Regular</v>
          </cell>
          <cell r="M397">
            <v>45265</v>
          </cell>
          <cell r="N397">
            <v>10</v>
          </cell>
          <cell r="O397">
            <v>10</v>
          </cell>
          <cell r="P397">
            <v>448.71276899999998</v>
          </cell>
          <cell r="Q397">
            <v>4487.1276900000003</v>
          </cell>
          <cell r="R397" t="str">
            <v>Clothing</v>
          </cell>
          <cell r="S397" t="str">
            <v>Clothing</v>
          </cell>
          <cell r="T397" t="str">
            <v>Jeans</v>
          </cell>
          <cell r="U397" t="str">
            <v>Clothing</v>
          </cell>
          <cell r="V397" t="str">
            <v>Average</v>
          </cell>
          <cell r="W397" t="str">
            <v>Average</v>
          </cell>
          <cell r="X397" t="str">
            <v>Same-Day</v>
          </cell>
          <cell r="Y397">
            <v>2</v>
          </cell>
          <cell r="Z397">
            <v>2</v>
          </cell>
        </row>
        <row r="398">
          <cell r="A398">
            <v>8051821</v>
          </cell>
          <cell r="B398">
            <v>25788</v>
          </cell>
          <cell r="C398" t="str">
            <v>Gregory Schultz</v>
          </cell>
          <cell r="D398" t="str">
            <v>Portsmouth</v>
          </cell>
          <cell r="E398" t="str">
            <v>England</v>
          </cell>
          <cell r="F398" t="str">
            <v>UK</v>
          </cell>
          <cell r="G398">
            <v>36</v>
          </cell>
          <cell r="H398">
            <v>36</v>
          </cell>
          <cell r="I398" t="str">
            <v>Male</v>
          </cell>
          <cell r="J398" t="str">
            <v>Male</v>
          </cell>
          <cell r="K398" t="str">
            <v>Medium</v>
          </cell>
          <cell r="L398" t="str">
            <v>Regular</v>
          </cell>
          <cell r="M398">
            <v>45234</v>
          </cell>
          <cell r="N398">
            <v>5</v>
          </cell>
          <cell r="O398">
            <v>5</v>
          </cell>
          <cell r="P398">
            <v>167.6740216</v>
          </cell>
          <cell r="Q398">
            <v>838.37010780000003</v>
          </cell>
          <cell r="R398" t="str">
            <v>Home Decor</v>
          </cell>
          <cell r="S398" t="str">
            <v>Home Decor</v>
          </cell>
          <cell r="T398" t="str">
            <v>Lighting</v>
          </cell>
          <cell r="U398" t="str">
            <v>Home Decor</v>
          </cell>
          <cell r="V398" t="str">
            <v>Excellent</v>
          </cell>
          <cell r="W398" t="str">
            <v>Excellent</v>
          </cell>
          <cell r="X398" t="str">
            <v>Same-Day</v>
          </cell>
          <cell r="Y398">
            <v>4</v>
          </cell>
          <cell r="Z398">
            <v>4</v>
          </cell>
        </row>
        <row r="399">
          <cell r="A399">
            <v>6965254</v>
          </cell>
          <cell r="B399">
            <v>88395</v>
          </cell>
          <cell r="C399" t="str">
            <v>Jeffrey Russell</v>
          </cell>
          <cell r="D399" t="str">
            <v>Portsmouth</v>
          </cell>
          <cell r="E399" t="str">
            <v>England</v>
          </cell>
          <cell r="F399" t="str">
            <v>UK</v>
          </cell>
          <cell r="G399">
            <v>55</v>
          </cell>
          <cell r="H399">
            <v>55</v>
          </cell>
          <cell r="I399" t="str">
            <v>Male</v>
          </cell>
          <cell r="J399" t="str">
            <v>Male</v>
          </cell>
          <cell r="K399" t="str">
            <v>Medium</v>
          </cell>
          <cell r="L399" t="str">
            <v>Regular</v>
          </cell>
          <cell r="M399">
            <v>45179</v>
          </cell>
          <cell r="N399">
            <v>4</v>
          </cell>
          <cell r="O399">
            <v>4</v>
          </cell>
          <cell r="P399">
            <v>277.5296621</v>
          </cell>
          <cell r="Q399">
            <v>1110.118649</v>
          </cell>
          <cell r="R399" t="str">
            <v>Grocery</v>
          </cell>
          <cell r="S399" t="str">
            <v>Grocery</v>
          </cell>
          <cell r="T399" t="str">
            <v>Juice</v>
          </cell>
          <cell r="U399" t="str">
            <v>Grocery</v>
          </cell>
          <cell r="V399" t="str">
            <v>Good</v>
          </cell>
          <cell r="W399" t="str">
            <v>Good</v>
          </cell>
          <cell r="X399" t="str">
            <v>Same-Day</v>
          </cell>
          <cell r="Y399">
            <v>3</v>
          </cell>
          <cell r="Z399">
            <v>3</v>
          </cell>
        </row>
        <row r="400">
          <cell r="A400">
            <v>5514598</v>
          </cell>
          <cell r="B400">
            <v>38195</v>
          </cell>
          <cell r="C400" t="str">
            <v>Laura Williams</v>
          </cell>
          <cell r="D400" t="str">
            <v>Portsmouth</v>
          </cell>
          <cell r="E400" t="str">
            <v>England</v>
          </cell>
          <cell r="F400" t="str">
            <v>UK</v>
          </cell>
          <cell r="G400">
            <v>62</v>
          </cell>
          <cell r="H400">
            <v>62</v>
          </cell>
          <cell r="I400" t="str">
            <v>Male</v>
          </cell>
          <cell r="J400" t="str">
            <v>Male</v>
          </cell>
          <cell r="K400" t="str">
            <v>Medium</v>
          </cell>
          <cell r="L400" t="str">
            <v>Regular</v>
          </cell>
          <cell r="M400">
            <v>45331</v>
          </cell>
          <cell r="N400">
            <v>10</v>
          </cell>
          <cell r="O400">
            <v>10</v>
          </cell>
          <cell r="P400">
            <v>155.63393160000001</v>
          </cell>
          <cell r="Q400">
            <v>1556.3393160000001</v>
          </cell>
          <cell r="R400" t="str">
            <v>Home Decor</v>
          </cell>
          <cell r="S400" t="str">
            <v>Home Decor</v>
          </cell>
          <cell r="T400" t="str">
            <v>Kitchen</v>
          </cell>
          <cell r="U400" t="str">
            <v>Home Decor</v>
          </cell>
          <cell r="V400" t="str">
            <v>Average</v>
          </cell>
          <cell r="W400" t="str">
            <v>Average</v>
          </cell>
          <cell r="X400" t="str">
            <v>Same-Day</v>
          </cell>
          <cell r="Y400">
            <v>2</v>
          </cell>
          <cell r="Z400">
            <v>2</v>
          </cell>
        </row>
        <row r="401">
          <cell r="A401">
            <v>5224569</v>
          </cell>
          <cell r="B401">
            <v>80072</v>
          </cell>
          <cell r="C401" t="str">
            <v>Danielle Hopkins</v>
          </cell>
          <cell r="D401" t="str">
            <v>Portsmouth</v>
          </cell>
          <cell r="E401" t="str">
            <v>England</v>
          </cell>
          <cell r="F401" t="str">
            <v>UK</v>
          </cell>
          <cell r="G401">
            <v>37</v>
          </cell>
          <cell r="H401">
            <v>37</v>
          </cell>
          <cell r="I401" t="str">
            <v>Female</v>
          </cell>
          <cell r="J401" t="str">
            <v>Female</v>
          </cell>
          <cell r="K401" t="str">
            <v>Medium</v>
          </cell>
          <cell r="L401" t="str">
            <v>Regular</v>
          </cell>
          <cell r="M401">
            <v>45059</v>
          </cell>
          <cell r="N401">
            <v>8</v>
          </cell>
          <cell r="O401">
            <v>8</v>
          </cell>
          <cell r="P401">
            <v>213.1090949</v>
          </cell>
          <cell r="Q401">
            <v>1704.87276</v>
          </cell>
          <cell r="R401" t="str">
            <v>Books</v>
          </cell>
          <cell r="S401" t="str">
            <v>Books</v>
          </cell>
          <cell r="T401" t="str">
            <v>Fiction</v>
          </cell>
          <cell r="U401" t="str">
            <v>Books</v>
          </cell>
          <cell r="V401" t="str">
            <v>Average</v>
          </cell>
          <cell r="W401" t="str">
            <v>Average</v>
          </cell>
          <cell r="X401" t="str">
            <v>Standard</v>
          </cell>
          <cell r="Y401">
            <v>2</v>
          </cell>
          <cell r="Z401">
            <v>2</v>
          </cell>
        </row>
        <row r="402">
          <cell r="A402">
            <v>4669285</v>
          </cell>
          <cell r="B402">
            <v>64275</v>
          </cell>
          <cell r="C402" t="str">
            <v>Mrs. Taylor Dixon</v>
          </cell>
          <cell r="D402" t="str">
            <v>Portsmouth</v>
          </cell>
          <cell r="E402" t="str">
            <v>England</v>
          </cell>
          <cell r="F402" t="str">
            <v>UK</v>
          </cell>
          <cell r="G402">
            <v>22</v>
          </cell>
          <cell r="H402">
            <v>22</v>
          </cell>
          <cell r="I402" t="str">
            <v>Female</v>
          </cell>
          <cell r="J402" t="str">
            <v>Female</v>
          </cell>
          <cell r="K402" t="str">
            <v>Low</v>
          </cell>
          <cell r="L402" t="str">
            <v>Regular</v>
          </cell>
          <cell r="M402">
            <v>45036</v>
          </cell>
          <cell r="N402">
            <v>10</v>
          </cell>
          <cell r="O402">
            <v>10</v>
          </cell>
          <cell r="P402">
            <v>451.8677874</v>
          </cell>
          <cell r="Q402">
            <v>4518.677874</v>
          </cell>
          <cell r="R402" t="str">
            <v>Grocery</v>
          </cell>
          <cell r="S402" t="str">
            <v>Grocery</v>
          </cell>
          <cell r="T402" t="str">
            <v>Juice</v>
          </cell>
          <cell r="U402" t="str">
            <v>Grocery</v>
          </cell>
          <cell r="V402" t="str">
            <v>Good</v>
          </cell>
          <cell r="W402" t="str">
            <v>Good</v>
          </cell>
          <cell r="X402" t="str">
            <v>Standard</v>
          </cell>
          <cell r="Y402">
            <v>3</v>
          </cell>
          <cell r="Z402">
            <v>3</v>
          </cell>
        </row>
        <row r="403">
          <cell r="A403">
            <v>6176628</v>
          </cell>
          <cell r="B403">
            <v>74784</v>
          </cell>
          <cell r="C403" t="str">
            <v>Donna Miller</v>
          </cell>
          <cell r="D403" t="str">
            <v>Portsmouth</v>
          </cell>
          <cell r="E403" t="str">
            <v>England</v>
          </cell>
          <cell r="F403" t="str">
            <v>UK</v>
          </cell>
          <cell r="G403">
            <v>19</v>
          </cell>
          <cell r="H403">
            <v>19</v>
          </cell>
          <cell r="I403" t="str">
            <v>Male</v>
          </cell>
          <cell r="J403" t="str">
            <v>Male</v>
          </cell>
          <cell r="K403" t="str">
            <v>Medium</v>
          </cell>
          <cell r="L403" t="str">
            <v>Regular</v>
          </cell>
          <cell r="M403">
            <v>45027</v>
          </cell>
          <cell r="N403">
            <v>5</v>
          </cell>
          <cell r="O403">
            <v>5</v>
          </cell>
          <cell r="P403">
            <v>62.318516099999997</v>
          </cell>
          <cell r="Q403">
            <v>311.5925805</v>
          </cell>
          <cell r="R403" t="str">
            <v>Grocery</v>
          </cell>
          <cell r="S403" t="str">
            <v>Grocery</v>
          </cell>
          <cell r="T403" t="str">
            <v>Chocolate</v>
          </cell>
          <cell r="U403" t="str">
            <v>Grocery</v>
          </cell>
          <cell r="V403" t="str">
            <v>Excellent</v>
          </cell>
          <cell r="W403" t="str">
            <v>Excellent</v>
          </cell>
          <cell r="X403" t="str">
            <v>Standard</v>
          </cell>
          <cell r="Y403">
            <v>5</v>
          </cell>
          <cell r="Z403">
            <v>5</v>
          </cell>
        </row>
        <row r="404">
          <cell r="A404">
            <v>9169342</v>
          </cell>
          <cell r="B404">
            <v>40091</v>
          </cell>
          <cell r="C404" t="str">
            <v>Cory Montgomery</v>
          </cell>
          <cell r="D404" t="str">
            <v>Portsmouth</v>
          </cell>
          <cell r="E404" t="str">
            <v>England</v>
          </cell>
          <cell r="F404" t="str">
            <v>UK</v>
          </cell>
          <cell r="G404">
            <v>54</v>
          </cell>
          <cell r="H404">
            <v>54</v>
          </cell>
          <cell r="I404" t="str">
            <v>Male</v>
          </cell>
          <cell r="J404" t="str">
            <v>Male</v>
          </cell>
          <cell r="K404" t="str">
            <v>Medium</v>
          </cell>
          <cell r="L404" t="str">
            <v>Regular</v>
          </cell>
          <cell r="M404">
            <v>45263</v>
          </cell>
          <cell r="N404">
            <v>6</v>
          </cell>
          <cell r="O404">
            <v>6</v>
          </cell>
          <cell r="P404">
            <v>248.07918050000001</v>
          </cell>
          <cell r="Q404">
            <v>1488.475083</v>
          </cell>
          <cell r="R404" t="str">
            <v>Books</v>
          </cell>
          <cell r="S404" t="str">
            <v>Books</v>
          </cell>
          <cell r="T404" t="str">
            <v>Fiction</v>
          </cell>
          <cell r="U404" t="str">
            <v>Books</v>
          </cell>
          <cell r="V404" t="str">
            <v>Bad</v>
          </cell>
          <cell r="W404" t="str">
            <v>Bad</v>
          </cell>
          <cell r="X404" t="str">
            <v>Standard</v>
          </cell>
          <cell r="Y404">
            <v>1</v>
          </cell>
          <cell r="Z404">
            <v>1</v>
          </cell>
        </row>
        <row r="405">
          <cell r="A405">
            <v>1121415</v>
          </cell>
          <cell r="B405">
            <v>96958</v>
          </cell>
          <cell r="C405" t="str">
            <v>Brian Juarez</v>
          </cell>
          <cell r="D405" t="str">
            <v>Portsmouth</v>
          </cell>
          <cell r="E405" t="str">
            <v>England</v>
          </cell>
          <cell r="F405" t="str">
            <v>UK</v>
          </cell>
          <cell r="G405">
            <v>27</v>
          </cell>
          <cell r="H405">
            <v>27</v>
          </cell>
          <cell r="I405" t="str">
            <v>Female</v>
          </cell>
          <cell r="J405" t="str">
            <v>Female</v>
          </cell>
          <cell r="K405" t="str">
            <v>Medium</v>
          </cell>
          <cell r="L405" t="str">
            <v>Regular</v>
          </cell>
          <cell r="M405">
            <v>45190</v>
          </cell>
          <cell r="N405">
            <v>1</v>
          </cell>
          <cell r="O405">
            <v>1</v>
          </cell>
          <cell r="P405">
            <v>18.162848010000001</v>
          </cell>
          <cell r="Q405">
            <v>18.162848010000001</v>
          </cell>
          <cell r="R405" t="str">
            <v>Books</v>
          </cell>
          <cell r="S405" t="str">
            <v>Books</v>
          </cell>
          <cell r="T405" t="str">
            <v>Non-Fiction</v>
          </cell>
          <cell r="U405" t="str">
            <v>Books</v>
          </cell>
          <cell r="V405" t="str">
            <v>Good</v>
          </cell>
          <cell r="W405" t="str">
            <v>Good</v>
          </cell>
          <cell r="X405" t="str">
            <v>Standard</v>
          </cell>
          <cell r="Y405">
            <v>4</v>
          </cell>
          <cell r="Z405">
            <v>4</v>
          </cell>
        </row>
        <row r="406">
          <cell r="A406">
            <v>2075646</v>
          </cell>
          <cell r="B406">
            <v>63956</v>
          </cell>
          <cell r="C406" t="str">
            <v>Don Huffman</v>
          </cell>
          <cell r="D406" t="str">
            <v>Portsmouth</v>
          </cell>
          <cell r="E406" t="str">
            <v>England</v>
          </cell>
          <cell r="F406" t="str">
            <v>UK</v>
          </cell>
          <cell r="G406">
            <v>38</v>
          </cell>
          <cell r="H406">
            <v>38</v>
          </cell>
          <cell r="I406" t="str">
            <v>Female</v>
          </cell>
          <cell r="J406" t="str">
            <v>Female</v>
          </cell>
          <cell r="K406" t="str">
            <v>Medium</v>
          </cell>
          <cell r="L406" t="str">
            <v>Regular</v>
          </cell>
          <cell r="M406">
            <v>45064</v>
          </cell>
          <cell r="N406">
            <v>6</v>
          </cell>
          <cell r="O406">
            <v>6</v>
          </cell>
          <cell r="P406">
            <v>476.76271659999998</v>
          </cell>
          <cell r="Q406">
            <v>2860.5763000000002</v>
          </cell>
          <cell r="R406" t="str">
            <v>Home Decor</v>
          </cell>
          <cell r="S406" t="str">
            <v>Home Decor</v>
          </cell>
          <cell r="T406" t="str">
            <v>Decorations</v>
          </cell>
          <cell r="U406" t="str">
            <v>Home Decor</v>
          </cell>
          <cell r="V406" t="str">
            <v>Bad</v>
          </cell>
          <cell r="W406" t="str">
            <v>Bad</v>
          </cell>
          <cell r="X406" t="str">
            <v>Express</v>
          </cell>
          <cell r="Y406">
            <v>1</v>
          </cell>
          <cell r="Z406">
            <v>1</v>
          </cell>
        </row>
        <row r="407">
          <cell r="A407">
            <v>1283620</v>
          </cell>
          <cell r="B407">
            <v>82346</v>
          </cell>
          <cell r="C407" t="str">
            <v>Kathleen Stephens</v>
          </cell>
          <cell r="D407" t="str">
            <v>Portsmouth</v>
          </cell>
          <cell r="E407" t="str">
            <v>England</v>
          </cell>
          <cell r="F407" t="str">
            <v>UK</v>
          </cell>
          <cell r="G407">
            <v>19</v>
          </cell>
          <cell r="H407">
            <v>19</v>
          </cell>
          <cell r="I407" t="str">
            <v>Male</v>
          </cell>
          <cell r="J407" t="str">
            <v>Male</v>
          </cell>
          <cell r="K407" t="str">
            <v>Medium</v>
          </cell>
          <cell r="L407" t="str">
            <v>Regular</v>
          </cell>
          <cell r="M407">
            <v>45034</v>
          </cell>
          <cell r="N407">
            <v>5</v>
          </cell>
          <cell r="O407">
            <v>5</v>
          </cell>
          <cell r="P407">
            <v>440.85121450000003</v>
          </cell>
          <cell r="Q407">
            <v>2204.256073</v>
          </cell>
          <cell r="R407" t="str">
            <v>Books</v>
          </cell>
          <cell r="S407" t="str">
            <v>Books</v>
          </cell>
          <cell r="T407" t="str">
            <v>Thriller</v>
          </cell>
          <cell r="U407" t="str">
            <v>Books</v>
          </cell>
          <cell r="V407" t="str">
            <v>Excellent</v>
          </cell>
          <cell r="W407" t="str">
            <v>Excellent</v>
          </cell>
          <cell r="X407" t="str">
            <v>Express</v>
          </cell>
          <cell r="Y407">
            <v>4</v>
          </cell>
          <cell r="Z407">
            <v>4</v>
          </cell>
        </row>
        <row r="408">
          <cell r="A408">
            <v>4501991</v>
          </cell>
          <cell r="B408">
            <v>31998</v>
          </cell>
          <cell r="C408" t="str">
            <v>Patrick Smith</v>
          </cell>
          <cell r="D408" t="str">
            <v>Portsmouth</v>
          </cell>
          <cell r="E408" t="str">
            <v>England</v>
          </cell>
          <cell r="F408" t="str">
            <v>UK</v>
          </cell>
          <cell r="G408">
            <v>66</v>
          </cell>
          <cell r="H408">
            <v>66</v>
          </cell>
          <cell r="I408" t="str">
            <v>Female</v>
          </cell>
          <cell r="J408" t="str">
            <v>Female</v>
          </cell>
          <cell r="K408" t="str">
            <v>Medium</v>
          </cell>
          <cell r="L408" t="str">
            <v>Regular</v>
          </cell>
          <cell r="M408">
            <v>45194</v>
          </cell>
          <cell r="N408">
            <v>9</v>
          </cell>
          <cell r="O408">
            <v>9</v>
          </cell>
          <cell r="P408">
            <v>481.87974220000001</v>
          </cell>
          <cell r="Q408">
            <v>4336.9176799999996</v>
          </cell>
          <cell r="R408" t="str">
            <v>Books</v>
          </cell>
          <cell r="S408" t="str">
            <v>Books</v>
          </cell>
          <cell r="T408" t="str">
            <v>Non-Fiction</v>
          </cell>
          <cell r="U408" t="str">
            <v>Books</v>
          </cell>
          <cell r="V408" t="str">
            <v>Good</v>
          </cell>
          <cell r="W408" t="str">
            <v>Good</v>
          </cell>
          <cell r="X408" t="str">
            <v>Standard</v>
          </cell>
          <cell r="Y408">
            <v>4</v>
          </cell>
          <cell r="Z408">
            <v>4</v>
          </cell>
        </row>
        <row r="409">
          <cell r="A409">
            <v>2207555</v>
          </cell>
          <cell r="B409">
            <v>28302</v>
          </cell>
          <cell r="C409" t="str">
            <v>Jennifer Larson</v>
          </cell>
          <cell r="D409" t="str">
            <v>Portsmouth</v>
          </cell>
          <cell r="E409" t="str">
            <v>England</v>
          </cell>
          <cell r="F409" t="str">
            <v>UK</v>
          </cell>
          <cell r="G409">
            <v>69</v>
          </cell>
          <cell r="H409">
            <v>69</v>
          </cell>
          <cell r="I409" t="str">
            <v>Female</v>
          </cell>
          <cell r="J409" t="str">
            <v>Female</v>
          </cell>
          <cell r="K409" t="str">
            <v>High</v>
          </cell>
          <cell r="L409" t="str">
            <v>Regular</v>
          </cell>
          <cell r="M409">
            <v>45130</v>
          </cell>
          <cell r="N409">
            <v>3</v>
          </cell>
          <cell r="O409">
            <v>3</v>
          </cell>
          <cell r="P409">
            <v>201.03780810000001</v>
          </cell>
          <cell r="Q409">
            <v>603.11342430000002</v>
          </cell>
          <cell r="R409" t="str">
            <v>Home Decor</v>
          </cell>
          <cell r="S409" t="str">
            <v>Home Decor</v>
          </cell>
          <cell r="T409" t="str">
            <v>Lighting</v>
          </cell>
          <cell r="U409" t="str">
            <v>Home Decor</v>
          </cell>
          <cell r="V409" t="str">
            <v>Excellent</v>
          </cell>
          <cell r="W409" t="str">
            <v>Excellent</v>
          </cell>
          <cell r="X409" t="str">
            <v>Standard</v>
          </cell>
          <cell r="Y409">
            <v>5</v>
          </cell>
          <cell r="Z409">
            <v>5</v>
          </cell>
        </row>
        <row r="410">
          <cell r="A410">
            <v>5282726</v>
          </cell>
          <cell r="B410">
            <v>22848</v>
          </cell>
          <cell r="C410" t="str">
            <v>William Chavez</v>
          </cell>
          <cell r="D410" t="str">
            <v>Portsmouth</v>
          </cell>
          <cell r="E410" t="str">
            <v>England</v>
          </cell>
          <cell r="F410" t="str">
            <v>UK</v>
          </cell>
          <cell r="G410">
            <v>51</v>
          </cell>
          <cell r="H410">
            <v>51</v>
          </cell>
          <cell r="I410" t="str">
            <v>Male</v>
          </cell>
          <cell r="J410" t="str">
            <v>Male</v>
          </cell>
          <cell r="K410" t="str">
            <v>Low</v>
          </cell>
          <cell r="L410" t="str">
            <v>Regular</v>
          </cell>
          <cell r="M410">
            <v>45069</v>
          </cell>
          <cell r="N410">
            <v>2</v>
          </cell>
          <cell r="O410">
            <v>2</v>
          </cell>
          <cell r="P410">
            <v>285.34109769999998</v>
          </cell>
          <cell r="Q410">
            <v>570.68219539999996</v>
          </cell>
          <cell r="R410" t="str">
            <v>Home Decor</v>
          </cell>
          <cell r="S410" t="str">
            <v>Home Decor</v>
          </cell>
          <cell r="T410" t="str">
            <v>Decorations</v>
          </cell>
          <cell r="U410" t="str">
            <v>Home Decor</v>
          </cell>
          <cell r="V410" t="str">
            <v>Good</v>
          </cell>
          <cell r="W410" t="str">
            <v>Good</v>
          </cell>
          <cell r="X410" t="str">
            <v>Standard</v>
          </cell>
          <cell r="Y410">
            <v>4</v>
          </cell>
          <cell r="Z410">
            <v>4</v>
          </cell>
        </row>
        <row r="411">
          <cell r="A411">
            <v>5202314</v>
          </cell>
          <cell r="B411">
            <v>22042</v>
          </cell>
          <cell r="C411" t="str">
            <v>Sharon Peters</v>
          </cell>
          <cell r="D411" t="str">
            <v>Portsmouth</v>
          </cell>
          <cell r="E411" t="str">
            <v>England</v>
          </cell>
          <cell r="F411" t="str">
            <v>UK</v>
          </cell>
          <cell r="G411">
            <v>48</v>
          </cell>
          <cell r="H411">
            <v>48</v>
          </cell>
          <cell r="I411" t="str">
            <v>Male</v>
          </cell>
          <cell r="J411" t="str">
            <v>Male</v>
          </cell>
          <cell r="K411" t="str">
            <v>Low</v>
          </cell>
          <cell r="L411" t="str">
            <v>Regular</v>
          </cell>
          <cell r="M411">
            <v>45138</v>
          </cell>
          <cell r="N411">
            <v>2</v>
          </cell>
          <cell r="O411">
            <v>2</v>
          </cell>
          <cell r="P411">
            <v>483.17710369999998</v>
          </cell>
          <cell r="Q411">
            <v>966.35420739999995</v>
          </cell>
          <cell r="R411" t="str">
            <v>Grocery</v>
          </cell>
          <cell r="S411" t="str">
            <v>Grocery</v>
          </cell>
          <cell r="T411" t="str">
            <v>Coffee</v>
          </cell>
          <cell r="U411" t="str">
            <v>Grocery</v>
          </cell>
          <cell r="V411" t="str">
            <v>Excellent</v>
          </cell>
          <cell r="W411" t="str">
            <v>Excellent</v>
          </cell>
          <cell r="X411" t="str">
            <v>Same-Day</v>
          </cell>
          <cell r="Y411">
            <v>5</v>
          </cell>
          <cell r="Z411">
            <v>5</v>
          </cell>
        </row>
        <row r="412">
          <cell r="A412">
            <v>2110835</v>
          </cell>
          <cell r="B412">
            <v>38014</v>
          </cell>
          <cell r="C412" t="str">
            <v>Michael Anderson</v>
          </cell>
          <cell r="D412" t="str">
            <v>Portsmouth</v>
          </cell>
          <cell r="E412" t="str">
            <v>England</v>
          </cell>
          <cell r="F412" t="str">
            <v>UK</v>
          </cell>
          <cell r="G412">
            <v>32</v>
          </cell>
          <cell r="H412">
            <v>32</v>
          </cell>
          <cell r="I412" t="str">
            <v>Male</v>
          </cell>
          <cell r="J412" t="str">
            <v>Male</v>
          </cell>
          <cell r="K412" t="str">
            <v>High</v>
          </cell>
          <cell r="L412" t="str">
            <v>Regular</v>
          </cell>
          <cell r="M412">
            <v>45189</v>
          </cell>
          <cell r="N412">
            <v>2</v>
          </cell>
          <cell r="O412">
            <v>2</v>
          </cell>
          <cell r="P412">
            <v>99.002390939999998</v>
          </cell>
          <cell r="Q412">
            <v>198.00478190000001</v>
          </cell>
          <cell r="R412" t="str">
            <v>Home Decor</v>
          </cell>
          <cell r="S412" t="str">
            <v>Home Decor</v>
          </cell>
          <cell r="T412" t="str">
            <v>Decorations</v>
          </cell>
          <cell r="U412" t="str">
            <v>Home Decor</v>
          </cell>
          <cell r="V412" t="str">
            <v>Average</v>
          </cell>
          <cell r="W412" t="str">
            <v>Average</v>
          </cell>
          <cell r="X412" t="str">
            <v>Express</v>
          </cell>
          <cell r="Y412">
            <v>2</v>
          </cell>
          <cell r="Z412">
            <v>2</v>
          </cell>
        </row>
        <row r="413">
          <cell r="A413">
            <v>3317106</v>
          </cell>
          <cell r="B413">
            <v>29568</v>
          </cell>
          <cell r="C413" t="str">
            <v>Monica Beltran</v>
          </cell>
          <cell r="D413" t="str">
            <v>Portsmouth</v>
          </cell>
          <cell r="E413" t="str">
            <v>England</v>
          </cell>
          <cell r="F413" t="str">
            <v>UK</v>
          </cell>
          <cell r="G413">
            <v>55</v>
          </cell>
          <cell r="H413">
            <v>55</v>
          </cell>
          <cell r="I413" t="str">
            <v>Female</v>
          </cell>
          <cell r="J413" t="str">
            <v>Female</v>
          </cell>
          <cell r="K413" t="str">
            <v>Low</v>
          </cell>
          <cell r="L413" t="str">
            <v>Regular</v>
          </cell>
          <cell r="M413">
            <v>45184</v>
          </cell>
          <cell r="N413">
            <v>1</v>
          </cell>
          <cell r="O413">
            <v>1</v>
          </cell>
          <cell r="P413">
            <v>55.7131033</v>
          </cell>
          <cell r="Q413">
            <v>55.7131033</v>
          </cell>
          <cell r="R413" t="str">
            <v>Home Decor</v>
          </cell>
          <cell r="S413" t="str">
            <v>Home Decor</v>
          </cell>
          <cell r="T413" t="str">
            <v>Furniture</v>
          </cell>
          <cell r="U413" t="str">
            <v>Home Decor</v>
          </cell>
          <cell r="V413" t="str">
            <v>Bad</v>
          </cell>
          <cell r="W413" t="str">
            <v>Bad</v>
          </cell>
          <cell r="X413" t="str">
            <v>Same-Day</v>
          </cell>
          <cell r="Y413">
            <v>1</v>
          </cell>
          <cell r="Z413">
            <v>1</v>
          </cell>
        </row>
        <row r="414">
          <cell r="A414">
            <v>7943755</v>
          </cell>
          <cell r="B414">
            <v>43434</v>
          </cell>
          <cell r="C414" t="str">
            <v>Nancy Smith</v>
          </cell>
          <cell r="D414" t="str">
            <v>Portsmouth</v>
          </cell>
          <cell r="E414" t="str">
            <v>England</v>
          </cell>
          <cell r="F414" t="str">
            <v>UK</v>
          </cell>
          <cell r="G414">
            <v>25</v>
          </cell>
          <cell r="H414">
            <v>25</v>
          </cell>
          <cell r="I414" t="str">
            <v>Male</v>
          </cell>
          <cell r="J414" t="str">
            <v>Male</v>
          </cell>
          <cell r="K414" t="str">
            <v>Low</v>
          </cell>
          <cell r="L414" t="str">
            <v>Regular</v>
          </cell>
          <cell r="M414">
            <v>45224</v>
          </cell>
          <cell r="N414">
            <v>5</v>
          </cell>
          <cell r="O414">
            <v>5</v>
          </cell>
          <cell r="P414">
            <v>346.22579459999997</v>
          </cell>
          <cell r="Q414">
            <v>1731.1289730000001</v>
          </cell>
          <cell r="R414" t="str">
            <v>Grocery</v>
          </cell>
          <cell r="S414" t="str">
            <v>Grocery</v>
          </cell>
          <cell r="T414" t="str">
            <v>Water</v>
          </cell>
          <cell r="U414" t="str">
            <v>Grocery</v>
          </cell>
          <cell r="V414" t="str">
            <v>Good</v>
          </cell>
          <cell r="W414" t="str">
            <v>Good</v>
          </cell>
          <cell r="X414" t="str">
            <v>Standard</v>
          </cell>
          <cell r="Y414">
            <v>4</v>
          </cell>
          <cell r="Z414">
            <v>4</v>
          </cell>
        </row>
        <row r="415">
          <cell r="A415">
            <v>4179977</v>
          </cell>
          <cell r="B415">
            <v>39794</v>
          </cell>
          <cell r="C415" t="str">
            <v>Ray Malone</v>
          </cell>
          <cell r="D415" t="str">
            <v>Portsmouth</v>
          </cell>
          <cell r="E415" t="str">
            <v>England</v>
          </cell>
          <cell r="F415" t="str">
            <v>UK</v>
          </cell>
          <cell r="G415">
            <v>22</v>
          </cell>
          <cell r="H415">
            <v>22</v>
          </cell>
          <cell r="I415" t="str">
            <v>Female</v>
          </cell>
          <cell r="J415" t="str">
            <v>Female</v>
          </cell>
          <cell r="K415" t="str">
            <v>Low</v>
          </cell>
          <cell r="L415" t="str">
            <v>Regular</v>
          </cell>
          <cell r="M415">
            <v>44988</v>
          </cell>
          <cell r="N415">
            <v>2</v>
          </cell>
          <cell r="O415">
            <v>2</v>
          </cell>
          <cell r="P415">
            <v>353.27298039999999</v>
          </cell>
          <cell r="Q415">
            <v>706.54596079999999</v>
          </cell>
          <cell r="R415" t="str">
            <v>Books</v>
          </cell>
          <cell r="S415" t="str">
            <v>Books</v>
          </cell>
          <cell r="T415" t="str">
            <v>Non-Fiction</v>
          </cell>
          <cell r="U415" t="str">
            <v>Books</v>
          </cell>
          <cell r="V415" t="str">
            <v>Good</v>
          </cell>
          <cell r="W415" t="str">
            <v>Good</v>
          </cell>
          <cell r="X415" t="str">
            <v>Express</v>
          </cell>
          <cell r="Y415">
            <v>4</v>
          </cell>
          <cell r="Z415">
            <v>4</v>
          </cell>
        </row>
        <row r="416">
          <cell r="A416">
            <v>4242791</v>
          </cell>
          <cell r="B416">
            <v>30209</v>
          </cell>
          <cell r="C416" t="str">
            <v>Julie Mcdonald</v>
          </cell>
          <cell r="D416" t="str">
            <v>Portsmouth</v>
          </cell>
          <cell r="E416" t="str">
            <v>England</v>
          </cell>
          <cell r="F416" t="str">
            <v>UK</v>
          </cell>
          <cell r="G416">
            <v>21</v>
          </cell>
          <cell r="H416">
            <v>21</v>
          </cell>
          <cell r="I416" t="str">
            <v>Male</v>
          </cell>
          <cell r="J416" t="str">
            <v>Male</v>
          </cell>
          <cell r="K416" t="str">
            <v>High</v>
          </cell>
          <cell r="L416" t="str">
            <v>Regular</v>
          </cell>
          <cell r="M416">
            <v>45000</v>
          </cell>
          <cell r="N416">
            <v>2</v>
          </cell>
          <cell r="O416">
            <v>2</v>
          </cell>
          <cell r="P416">
            <v>306.4115238</v>
          </cell>
          <cell r="Q416">
            <v>612.8230476</v>
          </cell>
          <cell r="R416" t="str">
            <v>Clothing</v>
          </cell>
          <cell r="S416" t="str">
            <v>Clothing</v>
          </cell>
          <cell r="T416" t="str">
            <v>Shoes</v>
          </cell>
          <cell r="U416" t="str">
            <v>Clothing</v>
          </cell>
          <cell r="V416" t="str">
            <v>Good</v>
          </cell>
          <cell r="W416" t="str">
            <v>Good</v>
          </cell>
          <cell r="X416" t="str">
            <v>Same-Day</v>
          </cell>
          <cell r="Y416">
            <v>4</v>
          </cell>
          <cell r="Z416">
            <v>4</v>
          </cell>
        </row>
        <row r="417">
          <cell r="A417">
            <v>8221142</v>
          </cell>
          <cell r="B417">
            <v>56437</v>
          </cell>
          <cell r="C417" t="str">
            <v>Diana Barton</v>
          </cell>
          <cell r="D417" t="str">
            <v>Portsmouth</v>
          </cell>
          <cell r="E417" t="str">
            <v>England</v>
          </cell>
          <cell r="F417" t="str">
            <v>UK</v>
          </cell>
          <cell r="G417">
            <v>27</v>
          </cell>
          <cell r="H417">
            <v>27</v>
          </cell>
          <cell r="I417" t="str">
            <v>Female</v>
          </cell>
          <cell r="J417" t="str">
            <v>Female</v>
          </cell>
          <cell r="K417" t="str">
            <v>Medium</v>
          </cell>
          <cell r="L417" t="str">
            <v>Regular</v>
          </cell>
          <cell r="M417">
            <v>45116</v>
          </cell>
          <cell r="N417">
            <v>7</v>
          </cell>
          <cell r="O417">
            <v>7</v>
          </cell>
          <cell r="P417">
            <v>29.756834210000001</v>
          </cell>
          <cell r="Q417">
            <v>208.29783950000001</v>
          </cell>
          <cell r="R417" t="str">
            <v>Books</v>
          </cell>
          <cell r="S417" t="str">
            <v>Books</v>
          </cell>
          <cell r="T417" t="str">
            <v>Fiction</v>
          </cell>
          <cell r="U417" t="str">
            <v>Books</v>
          </cell>
          <cell r="V417" t="str">
            <v>Average</v>
          </cell>
          <cell r="W417" t="str">
            <v>Average</v>
          </cell>
          <cell r="X417" t="str">
            <v>Standard</v>
          </cell>
          <cell r="Y417">
            <v>2</v>
          </cell>
          <cell r="Z417">
            <v>2</v>
          </cell>
        </row>
        <row r="418">
          <cell r="A418">
            <v>9844506</v>
          </cell>
          <cell r="B418">
            <v>56970</v>
          </cell>
          <cell r="C418" t="str">
            <v>Christine Lewis</v>
          </cell>
          <cell r="D418" t="str">
            <v>Portsmouth</v>
          </cell>
          <cell r="E418" t="str">
            <v>England</v>
          </cell>
          <cell r="F418" t="str">
            <v>UK</v>
          </cell>
          <cell r="G418">
            <v>51</v>
          </cell>
          <cell r="H418">
            <v>51</v>
          </cell>
          <cell r="I418" t="str">
            <v>Male</v>
          </cell>
          <cell r="J418" t="str">
            <v>Male</v>
          </cell>
          <cell r="K418" t="str">
            <v>Low</v>
          </cell>
          <cell r="L418" t="str">
            <v>Regular</v>
          </cell>
          <cell r="M418">
            <v>45020</v>
          </cell>
          <cell r="N418">
            <v>10</v>
          </cell>
          <cell r="O418">
            <v>10</v>
          </cell>
          <cell r="P418">
            <v>352.83185420000001</v>
          </cell>
          <cell r="Q418">
            <v>3528.318542</v>
          </cell>
          <cell r="R418" t="str">
            <v>Home Decor</v>
          </cell>
          <cell r="S418" t="str">
            <v>Home Decor</v>
          </cell>
          <cell r="T418" t="str">
            <v>Bathroom</v>
          </cell>
          <cell r="U418" t="str">
            <v>Home Decor</v>
          </cell>
          <cell r="V418" t="str">
            <v>Good</v>
          </cell>
          <cell r="W418" t="str">
            <v>Good</v>
          </cell>
          <cell r="X418" t="str">
            <v>Same-Day</v>
          </cell>
          <cell r="Y418">
            <v>3</v>
          </cell>
          <cell r="Z418">
            <v>3</v>
          </cell>
        </row>
        <row r="419">
          <cell r="A419">
            <v>4190867</v>
          </cell>
          <cell r="B419">
            <v>35511</v>
          </cell>
          <cell r="C419" t="str">
            <v>Alexander Jones</v>
          </cell>
          <cell r="D419" t="str">
            <v>Portsmouth</v>
          </cell>
          <cell r="E419" t="str">
            <v>England</v>
          </cell>
          <cell r="F419" t="str">
            <v>UK</v>
          </cell>
          <cell r="G419">
            <v>47</v>
          </cell>
          <cell r="H419">
            <v>47</v>
          </cell>
          <cell r="I419" t="str">
            <v>Male</v>
          </cell>
          <cell r="J419" t="str">
            <v>Male</v>
          </cell>
          <cell r="K419" t="str">
            <v>Medium</v>
          </cell>
          <cell r="L419" t="str">
            <v>Regular</v>
          </cell>
          <cell r="M419">
            <v>45333</v>
          </cell>
          <cell r="N419">
            <v>6</v>
          </cell>
          <cell r="O419">
            <v>6</v>
          </cell>
          <cell r="P419">
            <v>105.8696557</v>
          </cell>
          <cell r="Q419">
            <v>635.21793390000005</v>
          </cell>
          <cell r="R419" t="str">
            <v>Clothing</v>
          </cell>
          <cell r="S419" t="str">
            <v>Clothing</v>
          </cell>
          <cell r="T419" t="str">
            <v>T-shirt</v>
          </cell>
          <cell r="U419" t="str">
            <v>Clothing</v>
          </cell>
          <cell r="V419" t="str">
            <v>Bad</v>
          </cell>
          <cell r="W419" t="str">
            <v>Bad</v>
          </cell>
          <cell r="X419" t="str">
            <v>Express</v>
          </cell>
          <cell r="Y419">
            <v>1</v>
          </cell>
          <cell r="Z419">
            <v>1</v>
          </cell>
        </row>
        <row r="420">
          <cell r="A420">
            <v>8380095</v>
          </cell>
          <cell r="B420">
            <v>80891</v>
          </cell>
          <cell r="C420" t="str">
            <v>Lisa Newman</v>
          </cell>
          <cell r="D420" t="str">
            <v>Portsmouth</v>
          </cell>
          <cell r="E420" t="str">
            <v>England</v>
          </cell>
          <cell r="F420" t="str">
            <v>UK</v>
          </cell>
          <cell r="G420">
            <v>61</v>
          </cell>
          <cell r="H420">
            <v>61</v>
          </cell>
          <cell r="I420" t="str">
            <v>Male</v>
          </cell>
          <cell r="J420" t="str">
            <v>Male</v>
          </cell>
          <cell r="K420" t="str">
            <v>Medium</v>
          </cell>
          <cell r="L420" t="str">
            <v>Regular</v>
          </cell>
          <cell r="M420">
            <v>45337</v>
          </cell>
          <cell r="N420">
            <v>10</v>
          </cell>
          <cell r="O420">
            <v>10</v>
          </cell>
          <cell r="P420">
            <v>361.26883579999998</v>
          </cell>
          <cell r="Q420">
            <v>3612.6883579999999</v>
          </cell>
          <cell r="R420" t="str">
            <v>Grocery</v>
          </cell>
          <cell r="S420" t="str">
            <v>Grocery</v>
          </cell>
          <cell r="T420" t="str">
            <v>Chocolate</v>
          </cell>
          <cell r="U420" t="str">
            <v>Grocery</v>
          </cell>
          <cell r="V420" t="str">
            <v>Bad</v>
          </cell>
          <cell r="W420" t="str">
            <v>Bad</v>
          </cell>
          <cell r="X420" t="str">
            <v>Same-Day</v>
          </cell>
          <cell r="Y420">
            <v>1</v>
          </cell>
          <cell r="Z420">
            <v>1</v>
          </cell>
        </row>
        <row r="421">
          <cell r="A421">
            <v>8902436</v>
          </cell>
          <cell r="B421">
            <v>72108</v>
          </cell>
          <cell r="C421" t="str">
            <v>Christopher Knight</v>
          </cell>
          <cell r="D421" t="str">
            <v>Portsmouth</v>
          </cell>
          <cell r="E421" t="str">
            <v>England</v>
          </cell>
          <cell r="F421" t="str">
            <v>UK</v>
          </cell>
          <cell r="G421">
            <v>54</v>
          </cell>
          <cell r="H421">
            <v>54</v>
          </cell>
          <cell r="I421" t="str">
            <v>Male</v>
          </cell>
          <cell r="J421" t="str">
            <v>Male</v>
          </cell>
          <cell r="K421" t="str">
            <v>Low</v>
          </cell>
          <cell r="L421" t="str">
            <v>Regular</v>
          </cell>
          <cell r="M421">
            <v>44993</v>
          </cell>
          <cell r="N421">
            <v>1</v>
          </cell>
          <cell r="O421">
            <v>1</v>
          </cell>
          <cell r="P421">
            <v>13.506763100000001</v>
          </cell>
          <cell r="Q421">
            <v>13.506763100000001</v>
          </cell>
          <cell r="R421" t="str">
            <v>Home Decor</v>
          </cell>
          <cell r="S421" t="str">
            <v>Home Decor</v>
          </cell>
          <cell r="T421" t="str">
            <v>Furniture</v>
          </cell>
          <cell r="U421" t="str">
            <v>Home Decor</v>
          </cell>
          <cell r="V421" t="str">
            <v>Average</v>
          </cell>
          <cell r="W421" t="str">
            <v>Average</v>
          </cell>
          <cell r="X421" t="str">
            <v>Express</v>
          </cell>
          <cell r="Y421">
            <v>2</v>
          </cell>
          <cell r="Z421">
            <v>2</v>
          </cell>
        </row>
        <row r="422">
          <cell r="A422">
            <v>4583042</v>
          </cell>
          <cell r="B422">
            <v>14984</v>
          </cell>
          <cell r="C422" t="str">
            <v>Gary Jackson</v>
          </cell>
          <cell r="D422" t="str">
            <v>Portsmouth</v>
          </cell>
          <cell r="E422" t="str">
            <v>England</v>
          </cell>
          <cell r="F422" t="str">
            <v>UK</v>
          </cell>
          <cell r="G422">
            <v>61</v>
          </cell>
          <cell r="H422">
            <v>61</v>
          </cell>
          <cell r="I422" t="str">
            <v>Female</v>
          </cell>
          <cell r="J422" t="str">
            <v>Female</v>
          </cell>
          <cell r="K422" t="str">
            <v>High</v>
          </cell>
          <cell r="L422" t="str">
            <v>Regular</v>
          </cell>
          <cell r="M422">
            <v>45136</v>
          </cell>
          <cell r="N422">
            <v>7</v>
          </cell>
          <cell r="O422">
            <v>7</v>
          </cell>
          <cell r="P422">
            <v>412.51046839999998</v>
          </cell>
          <cell r="Q422">
            <v>2887.5732790000002</v>
          </cell>
          <cell r="R422" t="str">
            <v>Grocery</v>
          </cell>
          <cell r="S422" t="str">
            <v>Grocery</v>
          </cell>
          <cell r="T422" t="str">
            <v>Coffee</v>
          </cell>
          <cell r="U422" t="str">
            <v>Grocery</v>
          </cell>
          <cell r="V422" t="str">
            <v>Bad</v>
          </cell>
          <cell r="W422" t="str">
            <v>Bad</v>
          </cell>
          <cell r="X422" t="str">
            <v>Standard</v>
          </cell>
          <cell r="Y422">
            <v>1</v>
          </cell>
          <cell r="Z422">
            <v>1</v>
          </cell>
        </row>
        <row r="423">
          <cell r="A423">
            <v>9699039</v>
          </cell>
          <cell r="B423">
            <v>55747</v>
          </cell>
          <cell r="C423" t="str">
            <v>James Brown</v>
          </cell>
          <cell r="D423" t="str">
            <v>Portsmouth</v>
          </cell>
          <cell r="E423" t="str">
            <v>England</v>
          </cell>
          <cell r="F423" t="str">
            <v>UK</v>
          </cell>
          <cell r="G423">
            <v>37</v>
          </cell>
          <cell r="H423">
            <v>37</v>
          </cell>
          <cell r="I423" t="str">
            <v>Female</v>
          </cell>
          <cell r="J423" t="str">
            <v>Female</v>
          </cell>
          <cell r="K423" t="str">
            <v>High</v>
          </cell>
          <cell r="L423" t="str">
            <v>Regular</v>
          </cell>
          <cell r="M423">
            <v>45015</v>
          </cell>
          <cell r="N423">
            <v>2</v>
          </cell>
          <cell r="O423">
            <v>2</v>
          </cell>
          <cell r="P423">
            <v>433.54646730000002</v>
          </cell>
          <cell r="Q423">
            <v>867.09293460000004</v>
          </cell>
          <cell r="R423" t="str">
            <v>Electronics</v>
          </cell>
          <cell r="S423" t="str">
            <v>Electronics</v>
          </cell>
          <cell r="T423" t="str">
            <v>Tablet</v>
          </cell>
          <cell r="U423" t="str">
            <v>Electronics</v>
          </cell>
          <cell r="V423" t="str">
            <v>Average</v>
          </cell>
          <cell r="W423" t="str">
            <v>Average</v>
          </cell>
          <cell r="X423" t="str">
            <v>Standard</v>
          </cell>
          <cell r="Y423">
            <v>2</v>
          </cell>
          <cell r="Z423">
            <v>2</v>
          </cell>
        </row>
        <row r="424">
          <cell r="A424">
            <v>5617367</v>
          </cell>
          <cell r="B424">
            <v>82021</v>
          </cell>
          <cell r="C424" t="str">
            <v>Blake Dougherty</v>
          </cell>
          <cell r="D424" t="str">
            <v>Portsmouth</v>
          </cell>
          <cell r="E424" t="str">
            <v>England</v>
          </cell>
          <cell r="F424" t="str">
            <v>UK</v>
          </cell>
          <cell r="G424">
            <v>40</v>
          </cell>
          <cell r="H424">
            <v>40</v>
          </cell>
          <cell r="I424" t="str">
            <v>Female</v>
          </cell>
          <cell r="J424" t="str">
            <v>Female</v>
          </cell>
          <cell r="K424" t="str">
            <v>Low</v>
          </cell>
          <cell r="L424" t="str">
            <v>Regular</v>
          </cell>
          <cell r="M424">
            <v>45168</v>
          </cell>
          <cell r="N424">
            <v>10</v>
          </cell>
          <cell r="O424">
            <v>10</v>
          </cell>
          <cell r="P424">
            <v>157.34369659999999</v>
          </cell>
          <cell r="Q424">
            <v>1573.436966</v>
          </cell>
          <cell r="R424" t="str">
            <v>Books</v>
          </cell>
          <cell r="S424" t="str">
            <v>Books</v>
          </cell>
          <cell r="T424" t="str">
            <v>Non-Fiction</v>
          </cell>
          <cell r="U424" t="str">
            <v>Books</v>
          </cell>
          <cell r="V424" t="str">
            <v>Bad</v>
          </cell>
          <cell r="W424" t="str">
            <v>Bad</v>
          </cell>
          <cell r="X424" t="str">
            <v>Same-Day</v>
          </cell>
          <cell r="Y424">
            <v>1</v>
          </cell>
          <cell r="Z424">
            <v>1</v>
          </cell>
        </row>
        <row r="425">
          <cell r="A425">
            <v>1566437</v>
          </cell>
          <cell r="B425">
            <v>23547</v>
          </cell>
          <cell r="C425" t="str">
            <v>Jeremy Spencer</v>
          </cell>
          <cell r="D425" t="str">
            <v>Portsmouth</v>
          </cell>
          <cell r="E425" t="str">
            <v>England</v>
          </cell>
          <cell r="F425" t="str">
            <v>UK</v>
          </cell>
          <cell r="G425">
            <v>21</v>
          </cell>
          <cell r="H425">
            <v>21</v>
          </cell>
          <cell r="I425" t="str">
            <v>Female</v>
          </cell>
          <cell r="J425" t="str">
            <v>Female</v>
          </cell>
          <cell r="K425" t="str">
            <v>Low</v>
          </cell>
          <cell r="L425" t="str">
            <v>Regular</v>
          </cell>
          <cell r="M425">
            <v>45250</v>
          </cell>
          <cell r="N425">
            <v>2</v>
          </cell>
          <cell r="O425">
            <v>2</v>
          </cell>
          <cell r="P425">
            <v>253.56382840000001</v>
          </cell>
          <cell r="Q425">
            <v>507.12765669999999</v>
          </cell>
          <cell r="R425" t="str">
            <v>Home Decor</v>
          </cell>
          <cell r="S425" t="str">
            <v>Home Decor</v>
          </cell>
          <cell r="T425" t="str">
            <v>Decorations</v>
          </cell>
          <cell r="U425" t="str">
            <v>Home Decor</v>
          </cell>
          <cell r="V425" t="str">
            <v>Bad</v>
          </cell>
          <cell r="W425" t="str">
            <v>Bad</v>
          </cell>
          <cell r="X425" t="str">
            <v>Standard</v>
          </cell>
          <cell r="Y425">
            <v>1</v>
          </cell>
          <cell r="Z425">
            <v>1</v>
          </cell>
        </row>
        <row r="426">
          <cell r="A426">
            <v>9766243</v>
          </cell>
          <cell r="B426">
            <v>41485</v>
          </cell>
          <cell r="C426" t="str">
            <v>Kevin Reyes</v>
          </cell>
          <cell r="D426" t="str">
            <v>Portsmouth</v>
          </cell>
          <cell r="E426" t="str">
            <v>England</v>
          </cell>
          <cell r="F426" t="str">
            <v>UK</v>
          </cell>
          <cell r="G426">
            <v>28</v>
          </cell>
          <cell r="H426">
            <v>28</v>
          </cell>
          <cell r="I426" t="str">
            <v>Male</v>
          </cell>
          <cell r="J426" t="str">
            <v>Male</v>
          </cell>
          <cell r="K426" t="str">
            <v>Low</v>
          </cell>
          <cell r="L426" t="str">
            <v>Regular</v>
          </cell>
          <cell r="M426">
            <v>45192</v>
          </cell>
          <cell r="N426">
            <v>3</v>
          </cell>
          <cell r="O426">
            <v>3</v>
          </cell>
          <cell r="P426">
            <v>434.80285959999998</v>
          </cell>
          <cell r="Q426">
            <v>1304.4085789999999</v>
          </cell>
          <cell r="R426" t="str">
            <v>Home Decor</v>
          </cell>
          <cell r="S426" t="str">
            <v>Home Decor</v>
          </cell>
          <cell r="T426" t="str">
            <v>Decorations</v>
          </cell>
          <cell r="U426" t="str">
            <v>Home Decor</v>
          </cell>
          <cell r="V426" t="str">
            <v>Good</v>
          </cell>
          <cell r="W426" t="str">
            <v>Good</v>
          </cell>
          <cell r="X426" t="str">
            <v>Standard</v>
          </cell>
          <cell r="Y426">
            <v>4</v>
          </cell>
          <cell r="Z426">
            <v>4</v>
          </cell>
        </row>
        <row r="427">
          <cell r="A427">
            <v>2060723</v>
          </cell>
          <cell r="B427">
            <v>97340</v>
          </cell>
          <cell r="C427" t="str">
            <v>Carlos Moore</v>
          </cell>
          <cell r="D427" t="str">
            <v>Portsmouth</v>
          </cell>
          <cell r="E427" t="str">
            <v>England</v>
          </cell>
          <cell r="F427" t="str">
            <v>UK</v>
          </cell>
          <cell r="G427">
            <v>26</v>
          </cell>
          <cell r="H427">
            <v>26</v>
          </cell>
          <cell r="I427" t="str">
            <v>Male</v>
          </cell>
          <cell r="J427" t="str">
            <v>Male</v>
          </cell>
          <cell r="K427" t="str">
            <v>Medium</v>
          </cell>
          <cell r="L427" t="str">
            <v>Regular</v>
          </cell>
          <cell r="M427">
            <v>45119</v>
          </cell>
          <cell r="N427">
            <v>5</v>
          </cell>
          <cell r="O427">
            <v>5</v>
          </cell>
          <cell r="P427">
            <v>162.97372619999999</v>
          </cell>
          <cell r="Q427">
            <v>814.86863080000001</v>
          </cell>
          <cell r="R427" t="str">
            <v>Grocery</v>
          </cell>
          <cell r="S427" t="str">
            <v>Grocery</v>
          </cell>
          <cell r="T427" t="str">
            <v>Soft Drink</v>
          </cell>
          <cell r="U427" t="str">
            <v>Grocery</v>
          </cell>
          <cell r="V427" t="str">
            <v>Excellent</v>
          </cell>
          <cell r="W427" t="str">
            <v>Excellent</v>
          </cell>
          <cell r="X427" t="str">
            <v>Same-Day</v>
          </cell>
          <cell r="Y427">
            <v>4</v>
          </cell>
          <cell r="Z427">
            <v>4</v>
          </cell>
        </row>
        <row r="428">
          <cell r="A428">
            <v>3015432</v>
          </cell>
          <cell r="B428">
            <v>12790</v>
          </cell>
          <cell r="C428" t="str">
            <v>Nicole Diaz</v>
          </cell>
          <cell r="D428" t="str">
            <v>Portsmouth</v>
          </cell>
          <cell r="E428" t="str">
            <v>England</v>
          </cell>
          <cell r="F428" t="str">
            <v>UK</v>
          </cell>
          <cell r="G428">
            <v>30</v>
          </cell>
          <cell r="H428">
            <v>30</v>
          </cell>
          <cell r="I428" t="str">
            <v>Female</v>
          </cell>
          <cell r="J428" t="str">
            <v>Female</v>
          </cell>
          <cell r="K428" t="str">
            <v>Medium</v>
          </cell>
          <cell r="L428" t="str">
            <v>Regular</v>
          </cell>
          <cell r="M428">
            <v>45006</v>
          </cell>
          <cell r="N428">
            <v>6</v>
          </cell>
          <cell r="O428">
            <v>6</v>
          </cell>
          <cell r="P428">
            <v>478.99855009999999</v>
          </cell>
          <cell r="Q428">
            <v>2873.9913000000001</v>
          </cell>
          <cell r="R428" t="str">
            <v>Grocery</v>
          </cell>
          <cell r="S428" t="str">
            <v>Grocery</v>
          </cell>
          <cell r="T428" t="str">
            <v>Juice</v>
          </cell>
          <cell r="U428" t="str">
            <v>Grocery</v>
          </cell>
          <cell r="V428" t="str">
            <v>Bad</v>
          </cell>
          <cell r="W428" t="str">
            <v>Bad</v>
          </cell>
          <cell r="X428" t="str">
            <v>Standard</v>
          </cell>
          <cell r="Y428">
            <v>1</v>
          </cell>
          <cell r="Z428">
            <v>1</v>
          </cell>
        </row>
        <row r="429">
          <cell r="A429">
            <v>8498173</v>
          </cell>
          <cell r="B429">
            <v>84624</v>
          </cell>
          <cell r="C429" t="str">
            <v>James Robinson</v>
          </cell>
          <cell r="D429" t="str">
            <v>Portsmouth</v>
          </cell>
          <cell r="E429" t="str">
            <v>England</v>
          </cell>
          <cell r="F429" t="str">
            <v>UK</v>
          </cell>
          <cell r="G429">
            <v>48</v>
          </cell>
          <cell r="H429">
            <v>48</v>
          </cell>
          <cell r="I429" t="str">
            <v>Male</v>
          </cell>
          <cell r="J429" t="str">
            <v>Male</v>
          </cell>
          <cell r="K429" t="str">
            <v>High</v>
          </cell>
          <cell r="L429" t="str">
            <v>Regular</v>
          </cell>
          <cell r="M429">
            <v>45312</v>
          </cell>
          <cell r="N429">
            <v>10</v>
          </cell>
          <cell r="O429">
            <v>10</v>
          </cell>
          <cell r="P429">
            <v>221.85199679999999</v>
          </cell>
          <cell r="Q429">
            <v>2218.5199680000001</v>
          </cell>
          <cell r="R429" t="str">
            <v>Grocery</v>
          </cell>
          <cell r="S429" t="str">
            <v>Grocery</v>
          </cell>
          <cell r="T429" t="str">
            <v>Water</v>
          </cell>
          <cell r="U429" t="str">
            <v>Grocery</v>
          </cell>
          <cell r="V429" t="str">
            <v>Excellent</v>
          </cell>
          <cell r="W429" t="str">
            <v>Excellent</v>
          </cell>
          <cell r="X429" t="str">
            <v>Express</v>
          </cell>
          <cell r="Y429">
            <v>5</v>
          </cell>
          <cell r="Z429">
            <v>5</v>
          </cell>
        </row>
        <row r="430">
          <cell r="A430">
            <v>6964312</v>
          </cell>
          <cell r="B430">
            <v>72646</v>
          </cell>
          <cell r="C430" t="str">
            <v>Kimberly Walker</v>
          </cell>
          <cell r="D430" t="str">
            <v>Portsmouth</v>
          </cell>
          <cell r="E430" t="str">
            <v>England</v>
          </cell>
          <cell r="F430" t="str">
            <v>UK</v>
          </cell>
          <cell r="G430">
            <v>23</v>
          </cell>
          <cell r="H430">
            <v>23</v>
          </cell>
          <cell r="I430" t="str">
            <v>Female</v>
          </cell>
          <cell r="J430" t="str">
            <v>Female</v>
          </cell>
          <cell r="K430" t="str">
            <v>Low</v>
          </cell>
          <cell r="L430" t="str">
            <v>Regular</v>
          </cell>
          <cell r="M430">
            <v>44997</v>
          </cell>
          <cell r="N430">
            <v>8</v>
          </cell>
          <cell r="O430">
            <v>8</v>
          </cell>
          <cell r="P430">
            <v>23.94875369</v>
          </cell>
          <cell r="Q430">
            <v>191.59002950000001</v>
          </cell>
          <cell r="R430" t="str">
            <v>Grocery</v>
          </cell>
          <cell r="S430" t="str">
            <v>Grocery</v>
          </cell>
          <cell r="T430" t="str">
            <v>Snacks</v>
          </cell>
          <cell r="U430" t="str">
            <v>Grocery</v>
          </cell>
          <cell r="V430" t="str">
            <v>Average</v>
          </cell>
          <cell r="W430" t="str">
            <v>Average</v>
          </cell>
          <cell r="X430" t="str">
            <v>Express</v>
          </cell>
          <cell r="Y430">
            <v>2</v>
          </cell>
          <cell r="Z430">
            <v>2</v>
          </cell>
        </row>
        <row r="431">
          <cell r="A431">
            <v>7726505</v>
          </cell>
          <cell r="B431">
            <v>53375</v>
          </cell>
          <cell r="C431" t="str">
            <v>Chad Myers</v>
          </cell>
          <cell r="D431" t="str">
            <v>Portsmouth</v>
          </cell>
          <cell r="E431" t="str">
            <v>England</v>
          </cell>
          <cell r="F431" t="str">
            <v>UK</v>
          </cell>
          <cell r="G431">
            <v>62</v>
          </cell>
          <cell r="H431">
            <v>62</v>
          </cell>
          <cell r="I431" t="str">
            <v>Female</v>
          </cell>
          <cell r="J431" t="str">
            <v>Female</v>
          </cell>
          <cell r="K431" t="str">
            <v>Medium</v>
          </cell>
          <cell r="L431" t="str">
            <v>Regular</v>
          </cell>
          <cell r="M431">
            <v>45084</v>
          </cell>
          <cell r="N431">
            <v>3</v>
          </cell>
          <cell r="O431">
            <v>3</v>
          </cell>
          <cell r="P431">
            <v>76.383210169999998</v>
          </cell>
          <cell r="Q431">
            <v>229.1496305</v>
          </cell>
          <cell r="R431" t="str">
            <v>Books</v>
          </cell>
          <cell r="S431" t="str">
            <v>Books</v>
          </cell>
          <cell r="T431" t="str">
            <v>Non-Fiction</v>
          </cell>
          <cell r="U431" t="str">
            <v>Books</v>
          </cell>
          <cell r="V431" t="str">
            <v>Bad</v>
          </cell>
          <cell r="W431" t="str">
            <v>Bad</v>
          </cell>
          <cell r="X431" t="str">
            <v>Express</v>
          </cell>
          <cell r="Y431">
            <v>1</v>
          </cell>
          <cell r="Z431">
            <v>1</v>
          </cell>
        </row>
        <row r="432">
          <cell r="A432">
            <v>7196203</v>
          </cell>
          <cell r="B432">
            <v>15041</v>
          </cell>
          <cell r="C432" t="str">
            <v>Zachary Rodriguez</v>
          </cell>
          <cell r="D432" t="str">
            <v>Portsmouth</v>
          </cell>
          <cell r="E432" t="str">
            <v>England</v>
          </cell>
          <cell r="F432" t="str">
            <v>UK</v>
          </cell>
          <cell r="G432">
            <v>53</v>
          </cell>
          <cell r="H432">
            <v>53</v>
          </cell>
          <cell r="I432" t="str">
            <v>Female</v>
          </cell>
          <cell r="J432" t="str">
            <v>Female</v>
          </cell>
          <cell r="K432" t="str">
            <v>Medium</v>
          </cell>
          <cell r="L432" t="str">
            <v>Regular</v>
          </cell>
          <cell r="M432">
            <v>45247</v>
          </cell>
          <cell r="N432">
            <v>5</v>
          </cell>
          <cell r="O432">
            <v>5</v>
          </cell>
          <cell r="P432">
            <v>481.85917769999998</v>
          </cell>
          <cell r="Q432">
            <v>2409.295889</v>
          </cell>
          <cell r="R432" t="str">
            <v>Electronics</v>
          </cell>
          <cell r="S432" t="str">
            <v>Electronics</v>
          </cell>
          <cell r="T432" t="str">
            <v>Smartphone</v>
          </cell>
          <cell r="U432" t="str">
            <v>Electronics</v>
          </cell>
          <cell r="V432" t="str">
            <v>Average</v>
          </cell>
          <cell r="W432" t="str">
            <v>Average</v>
          </cell>
          <cell r="X432" t="str">
            <v>Standard</v>
          </cell>
          <cell r="Y432">
            <v>2</v>
          </cell>
          <cell r="Z432">
            <v>2</v>
          </cell>
        </row>
        <row r="433">
          <cell r="A433">
            <v>4809422</v>
          </cell>
          <cell r="B433">
            <v>19347</v>
          </cell>
          <cell r="C433" t="str">
            <v>John Santos</v>
          </cell>
          <cell r="D433" t="str">
            <v>Portsmouth</v>
          </cell>
          <cell r="E433" t="str">
            <v>England</v>
          </cell>
          <cell r="F433" t="str">
            <v>UK</v>
          </cell>
          <cell r="G433">
            <v>25</v>
          </cell>
          <cell r="H433">
            <v>25</v>
          </cell>
          <cell r="I433" t="str">
            <v>Female</v>
          </cell>
          <cell r="J433" t="str">
            <v>Female</v>
          </cell>
          <cell r="K433" t="str">
            <v>High</v>
          </cell>
          <cell r="L433" t="str">
            <v>Regular</v>
          </cell>
          <cell r="M433">
            <v>45069</v>
          </cell>
          <cell r="N433">
            <v>8</v>
          </cell>
          <cell r="O433">
            <v>8</v>
          </cell>
          <cell r="P433">
            <v>453.02329659999998</v>
          </cell>
          <cell r="Q433">
            <v>3624.186373</v>
          </cell>
          <cell r="R433" t="str">
            <v>Books</v>
          </cell>
          <cell r="S433" t="str">
            <v>Books</v>
          </cell>
          <cell r="T433" t="str">
            <v>Fiction</v>
          </cell>
          <cell r="U433" t="str">
            <v>Books</v>
          </cell>
          <cell r="V433" t="str">
            <v>Average</v>
          </cell>
          <cell r="W433" t="str">
            <v>Average</v>
          </cell>
          <cell r="X433" t="str">
            <v>Express</v>
          </cell>
          <cell r="Y433">
            <v>2</v>
          </cell>
          <cell r="Z433">
            <v>2</v>
          </cell>
        </row>
        <row r="434">
          <cell r="A434">
            <v>4963956</v>
          </cell>
          <cell r="B434">
            <v>98120</v>
          </cell>
          <cell r="C434" t="str">
            <v>Michelle Spears</v>
          </cell>
          <cell r="D434" t="str">
            <v>Portsmouth</v>
          </cell>
          <cell r="E434" t="str">
            <v>England</v>
          </cell>
          <cell r="F434" t="str">
            <v>UK</v>
          </cell>
          <cell r="G434">
            <v>68</v>
          </cell>
          <cell r="H434">
            <v>68</v>
          </cell>
          <cell r="I434" t="str">
            <v>Male</v>
          </cell>
          <cell r="J434" t="str">
            <v>Male</v>
          </cell>
          <cell r="K434" t="str">
            <v>Medium</v>
          </cell>
          <cell r="L434" t="str">
            <v>Regular</v>
          </cell>
          <cell r="M434">
            <v>45207</v>
          </cell>
          <cell r="N434">
            <v>8</v>
          </cell>
          <cell r="O434">
            <v>8</v>
          </cell>
          <cell r="P434">
            <v>39.853110950000001</v>
          </cell>
          <cell r="Q434">
            <v>318.82488760000001</v>
          </cell>
          <cell r="R434" t="str">
            <v>Home Decor</v>
          </cell>
          <cell r="S434" t="str">
            <v>Home Decor</v>
          </cell>
          <cell r="T434" t="str">
            <v>Tools</v>
          </cell>
          <cell r="U434" t="str">
            <v>Home Decor</v>
          </cell>
          <cell r="V434" t="str">
            <v>Good</v>
          </cell>
          <cell r="W434" t="str">
            <v>Good</v>
          </cell>
          <cell r="X434" t="str">
            <v>Standard</v>
          </cell>
          <cell r="Y434">
            <v>3</v>
          </cell>
          <cell r="Z434">
            <v>3</v>
          </cell>
        </row>
        <row r="435">
          <cell r="A435">
            <v>8215539</v>
          </cell>
          <cell r="B435">
            <v>22107</v>
          </cell>
          <cell r="C435" t="str">
            <v>Scott Burke</v>
          </cell>
          <cell r="D435" t="str">
            <v>Portsmouth</v>
          </cell>
          <cell r="E435" t="str">
            <v>England</v>
          </cell>
          <cell r="F435" t="str">
            <v>UK</v>
          </cell>
          <cell r="G435">
            <v>50</v>
          </cell>
          <cell r="H435">
            <v>50</v>
          </cell>
          <cell r="I435" t="str">
            <v>Female</v>
          </cell>
          <cell r="J435" t="str">
            <v>Female</v>
          </cell>
          <cell r="K435" t="str">
            <v>High</v>
          </cell>
          <cell r="L435" t="str">
            <v>Regular</v>
          </cell>
          <cell r="M435">
            <v>45059</v>
          </cell>
          <cell r="N435">
            <v>5</v>
          </cell>
          <cell r="O435">
            <v>5</v>
          </cell>
          <cell r="P435">
            <v>27.24352562</v>
          </cell>
          <cell r="Q435">
            <v>136.21762810000001</v>
          </cell>
          <cell r="R435" t="str">
            <v>Home Decor</v>
          </cell>
          <cell r="S435" t="str">
            <v>Home Decor</v>
          </cell>
          <cell r="T435" t="str">
            <v>Tools</v>
          </cell>
          <cell r="U435" t="str">
            <v>Home Decor</v>
          </cell>
          <cell r="V435" t="str">
            <v>Bad</v>
          </cell>
          <cell r="W435" t="str">
            <v>Bad</v>
          </cell>
          <cell r="X435" t="str">
            <v>Express</v>
          </cell>
          <cell r="Y435">
            <v>1</v>
          </cell>
          <cell r="Z435">
            <v>1</v>
          </cell>
        </row>
        <row r="436">
          <cell r="A436">
            <v>1469346</v>
          </cell>
          <cell r="B436">
            <v>84395</v>
          </cell>
          <cell r="C436" t="str">
            <v>Kenneth Parker</v>
          </cell>
          <cell r="D436" t="str">
            <v>Portsmouth</v>
          </cell>
          <cell r="E436" t="str">
            <v>England</v>
          </cell>
          <cell r="F436" t="str">
            <v>UK</v>
          </cell>
          <cell r="G436">
            <v>52</v>
          </cell>
          <cell r="H436">
            <v>52</v>
          </cell>
          <cell r="I436" t="str">
            <v>Male</v>
          </cell>
          <cell r="J436" t="str">
            <v>Male</v>
          </cell>
          <cell r="K436" t="str">
            <v>Low</v>
          </cell>
          <cell r="L436" t="str">
            <v>Regular</v>
          </cell>
          <cell r="M436">
            <v>45326</v>
          </cell>
          <cell r="N436">
            <v>4</v>
          </cell>
          <cell r="O436">
            <v>4</v>
          </cell>
          <cell r="P436">
            <v>55.444171859999997</v>
          </cell>
          <cell r="Q436">
            <v>221.77668739999999</v>
          </cell>
          <cell r="R436" t="str">
            <v>Electronics</v>
          </cell>
          <cell r="S436" t="str">
            <v>Electronics</v>
          </cell>
          <cell r="T436" t="str">
            <v>Smartphone</v>
          </cell>
          <cell r="U436" t="str">
            <v>Electronics</v>
          </cell>
          <cell r="V436" t="str">
            <v>Good</v>
          </cell>
          <cell r="W436" t="str">
            <v>Good</v>
          </cell>
          <cell r="X436" t="str">
            <v>Same-Day</v>
          </cell>
          <cell r="Y436">
            <v>4</v>
          </cell>
          <cell r="Z436">
            <v>4</v>
          </cell>
        </row>
        <row r="437">
          <cell r="A437">
            <v>8071729</v>
          </cell>
          <cell r="B437">
            <v>90796</v>
          </cell>
          <cell r="C437" t="str">
            <v>Dawn Rodriguez</v>
          </cell>
          <cell r="D437" t="str">
            <v>Portsmouth</v>
          </cell>
          <cell r="E437" t="str">
            <v>England</v>
          </cell>
          <cell r="F437" t="str">
            <v>UK</v>
          </cell>
          <cell r="G437">
            <v>18</v>
          </cell>
          <cell r="H437">
            <v>18</v>
          </cell>
          <cell r="I437" t="str">
            <v>Male</v>
          </cell>
          <cell r="J437" t="str">
            <v>Male</v>
          </cell>
          <cell r="K437" t="str">
            <v>Low</v>
          </cell>
          <cell r="L437" t="str">
            <v>Regular</v>
          </cell>
          <cell r="M437">
            <v>45236</v>
          </cell>
          <cell r="N437">
            <v>1</v>
          </cell>
          <cell r="O437">
            <v>1</v>
          </cell>
          <cell r="P437">
            <v>158.4289608</v>
          </cell>
          <cell r="Q437">
            <v>158.4289608</v>
          </cell>
          <cell r="R437" t="str">
            <v>Clothing</v>
          </cell>
          <cell r="S437" t="str">
            <v>Clothing</v>
          </cell>
          <cell r="T437" t="str">
            <v>Shorts</v>
          </cell>
          <cell r="U437" t="str">
            <v>Clothing</v>
          </cell>
          <cell r="V437" t="str">
            <v>Good</v>
          </cell>
          <cell r="W437" t="str">
            <v>Good</v>
          </cell>
          <cell r="X437" t="str">
            <v>Same-Day</v>
          </cell>
          <cell r="Y437">
            <v>3</v>
          </cell>
          <cell r="Z437">
            <v>3</v>
          </cell>
        </row>
        <row r="438">
          <cell r="A438">
            <v>9889304</v>
          </cell>
          <cell r="B438">
            <v>72463</v>
          </cell>
          <cell r="C438" t="str">
            <v>Curtis Martin</v>
          </cell>
          <cell r="D438" t="str">
            <v>Portsmouth</v>
          </cell>
          <cell r="E438" t="str">
            <v>England</v>
          </cell>
          <cell r="F438" t="str">
            <v>UK</v>
          </cell>
          <cell r="G438">
            <v>31</v>
          </cell>
          <cell r="H438">
            <v>31</v>
          </cell>
          <cell r="I438" t="str">
            <v>Male</v>
          </cell>
          <cell r="J438" t="str">
            <v>Male</v>
          </cell>
          <cell r="K438" t="str">
            <v>Low</v>
          </cell>
          <cell r="L438" t="str">
            <v>Regular</v>
          </cell>
          <cell r="M438">
            <v>44999</v>
          </cell>
          <cell r="N438">
            <v>8</v>
          </cell>
          <cell r="O438">
            <v>8</v>
          </cell>
          <cell r="P438">
            <v>16.977070560000001</v>
          </cell>
          <cell r="Q438">
            <v>135.8165645</v>
          </cell>
          <cell r="R438" t="str">
            <v>Electronics</v>
          </cell>
          <cell r="S438" t="str">
            <v>Electronics</v>
          </cell>
          <cell r="T438" t="str">
            <v>Smartphone</v>
          </cell>
          <cell r="U438" t="str">
            <v>Electronics</v>
          </cell>
          <cell r="V438" t="str">
            <v>Bad</v>
          </cell>
          <cell r="W438" t="str">
            <v>Bad</v>
          </cell>
          <cell r="X438" t="str">
            <v>Standard</v>
          </cell>
          <cell r="Y438">
            <v>1</v>
          </cell>
          <cell r="Z438">
            <v>1</v>
          </cell>
        </row>
        <row r="439">
          <cell r="A439">
            <v>4138830</v>
          </cell>
          <cell r="B439">
            <v>17705</v>
          </cell>
          <cell r="C439" t="str">
            <v>Michelle Simmons</v>
          </cell>
          <cell r="D439" t="str">
            <v>Portsmouth</v>
          </cell>
          <cell r="E439" t="str">
            <v>England</v>
          </cell>
          <cell r="F439" t="str">
            <v>UK</v>
          </cell>
          <cell r="G439">
            <v>62</v>
          </cell>
          <cell r="H439">
            <v>62</v>
          </cell>
          <cell r="I439" t="str">
            <v>Male</v>
          </cell>
          <cell r="J439" t="str">
            <v>Male</v>
          </cell>
          <cell r="K439" t="str">
            <v>Low</v>
          </cell>
          <cell r="L439" t="str">
            <v>Regular</v>
          </cell>
          <cell r="M439">
            <v>45121</v>
          </cell>
          <cell r="N439">
            <v>5</v>
          </cell>
          <cell r="O439">
            <v>5</v>
          </cell>
          <cell r="P439">
            <v>64.802432789999997</v>
          </cell>
          <cell r="Q439">
            <v>324.01216390000002</v>
          </cell>
          <cell r="R439"/>
          <cell r="S439" t="str">
            <v>Books</v>
          </cell>
          <cell r="T439" t="str">
            <v>Non-Fiction</v>
          </cell>
          <cell r="U439" t="str">
            <v>Books</v>
          </cell>
          <cell r="V439" t="str">
            <v>Excellent</v>
          </cell>
          <cell r="W439" t="str">
            <v>Excellent</v>
          </cell>
          <cell r="X439" t="str">
            <v>Same-Day</v>
          </cell>
          <cell r="Y439">
            <v>5</v>
          </cell>
          <cell r="Z439">
            <v>5</v>
          </cell>
        </row>
        <row r="440">
          <cell r="A440">
            <v>5590605</v>
          </cell>
          <cell r="B440">
            <v>70727</v>
          </cell>
          <cell r="C440" t="str">
            <v>Sara White</v>
          </cell>
          <cell r="D440" t="str">
            <v>Portsmouth</v>
          </cell>
          <cell r="E440" t="str">
            <v>England</v>
          </cell>
          <cell r="F440" t="str">
            <v>UK</v>
          </cell>
          <cell r="G440">
            <v>40</v>
          </cell>
          <cell r="H440">
            <v>40</v>
          </cell>
          <cell r="I440" t="str">
            <v>Female</v>
          </cell>
          <cell r="J440" t="str">
            <v>Female</v>
          </cell>
          <cell r="K440" t="str">
            <v>Low</v>
          </cell>
          <cell r="L440" t="str">
            <v>Regular</v>
          </cell>
          <cell r="M440">
            <v>45294</v>
          </cell>
          <cell r="N440">
            <v>2</v>
          </cell>
          <cell r="O440">
            <v>2</v>
          </cell>
          <cell r="P440">
            <v>204.09953849999999</v>
          </cell>
          <cell r="Q440">
            <v>408.19907690000002</v>
          </cell>
          <cell r="R440" t="str">
            <v>Electronics</v>
          </cell>
          <cell r="S440" t="str">
            <v>Electronics</v>
          </cell>
          <cell r="T440" t="str">
            <v>Laptop</v>
          </cell>
          <cell r="U440" t="str">
            <v>Electronics</v>
          </cell>
          <cell r="V440" t="str">
            <v>Average</v>
          </cell>
          <cell r="W440" t="str">
            <v>Average</v>
          </cell>
          <cell r="X440" t="str">
            <v>Standard</v>
          </cell>
          <cell r="Y440">
            <v>2</v>
          </cell>
          <cell r="Z440">
            <v>2</v>
          </cell>
        </row>
        <row r="441">
          <cell r="A441">
            <v>6571685</v>
          </cell>
          <cell r="B441">
            <v>72707</v>
          </cell>
          <cell r="C441" t="str">
            <v>Miranda Gallagher</v>
          </cell>
          <cell r="D441" t="str">
            <v>Portsmouth</v>
          </cell>
          <cell r="E441" t="str">
            <v>England</v>
          </cell>
          <cell r="F441" t="str">
            <v>UK</v>
          </cell>
          <cell r="G441">
            <v>37</v>
          </cell>
          <cell r="H441">
            <v>37</v>
          </cell>
          <cell r="I441" t="str">
            <v>Female</v>
          </cell>
          <cell r="J441" t="str">
            <v>Female</v>
          </cell>
          <cell r="K441" t="str">
            <v>Low</v>
          </cell>
          <cell r="L441" t="str">
            <v>Regular</v>
          </cell>
          <cell r="M441">
            <v>45196</v>
          </cell>
          <cell r="N441">
            <v>4</v>
          </cell>
          <cell r="O441">
            <v>4</v>
          </cell>
          <cell r="P441">
            <v>264.23710440000002</v>
          </cell>
          <cell r="Q441">
            <v>1056.9484179999999</v>
          </cell>
          <cell r="R441" t="str">
            <v>Electronics</v>
          </cell>
          <cell r="S441" t="str">
            <v>Electronics</v>
          </cell>
          <cell r="T441" t="str">
            <v>Tablet</v>
          </cell>
          <cell r="U441" t="str">
            <v>Electronics</v>
          </cell>
          <cell r="V441" t="str">
            <v>Bad</v>
          </cell>
          <cell r="W441" t="str">
            <v>Bad</v>
          </cell>
          <cell r="X441" t="str">
            <v>Standard</v>
          </cell>
          <cell r="Y441">
            <v>1</v>
          </cell>
          <cell r="Z441">
            <v>1</v>
          </cell>
        </row>
        <row r="442">
          <cell r="A442">
            <v>9261762</v>
          </cell>
          <cell r="B442">
            <v>98764</v>
          </cell>
          <cell r="C442" t="str">
            <v>Joshua Mclean</v>
          </cell>
          <cell r="D442" t="str">
            <v>Portsmouth</v>
          </cell>
          <cell r="E442" t="str">
            <v>England</v>
          </cell>
          <cell r="F442" t="str">
            <v>UK</v>
          </cell>
          <cell r="G442">
            <v>53</v>
          </cell>
          <cell r="H442">
            <v>53</v>
          </cell>
          <cell r="I442" t="str">
            <v>Male</v>
          </cell>
          <cell r="J442" t="str">
            <v>Male</v>
          </cell>
          <cell r="K442" t="str">
            <v>High</v>
          </cell>
          <cell r="L442" t="str">
            <v>Regular</v>
          </cell>
          <cell r="M442">
            <v>45109</v>
          </cell>
          <cell r="N442">
            <v>4</v>
          </cell>
          <cell r="O442">
            <v>4</v>
          </cell>
          <cell r="P442">
            <v>309.96363819999999</v>
          </cell>
          <cell r="Q442">
            <v>1239.8545529999999</v>
          </cell>
          <cell r="R442" t="str">
            <v>Books</v>
          </cell>
          <cell r="S442" t="str">
            <v>Books</v>
          </cell>
          <cell r="T442" t="str">
            <v>Non-Fiction</v>
          </cell>
          <cell r="U442" t="str">
            <v>Books</v>
          </cell>
          <cell r="V442" t="str">
            <v>Good</v>
          </cell>
          <cell r="W442" t="str">
            <v>Good</v>
          </cell>
          <cell r="X442" t="str">
            <v>Express</v>
          </cell>
          <cell r="Y442">
            <v>3</v>
          </cell>
          <cell r="Z442">
            <v>3</v>
          </cell>
        </row>
        <row r="443">
          <cell r="A443">
            <v>8556117</v>
          </cell>
          <cell r="B443">
            <v>89722</v>
          </cell>
          <cell r="C443" t="str">
            <v>Eric Choi</v>
          </cell>
          <cell r="D443" t="str">
            <v>Portsmouth</v>
          </cell>
          <cell r="E443" t="str">
            <v>England</v>
          </cell>
          <cell r="F443" t="str">
            <v>UK</v>
          </cell>
          <cell r="G443">
            <v>38</v>
          </cell>
          <cell r="H443">
            <v>38</v>
          </cell>
          <cell r="I443" t="str">
            <v>Male</v>
          </cell>
          <cell r="J443" t="str">
            <v>Male</v>
          </cell>
          <cell r="K443" t="str">
            <v>Medium</v>
          </cell>
          <cell r="L443" t="str">
            <v>Regular</v>
          </cell>
          <cell r="M443">
            <v>45144</v>
          </cell>
          <cell r="N443">
            <v>10</v>
          </cell>
          <cell r="O443">
            <v>10</v>
          </cell>
          <cell r="P443">
            <v>435.68257590000002</v>
          </cell>
          <cell r="Q443">
            <v>4356.8257590000003</v>
          </cell>
          <cell r="R443" t="str">
            <v>Electronics</v>
          </cell>
          <cell r="S443" t="str">
            <v>Electronics</v>
          </cell>
          <cell r="T443" t="str">
            <v>Tablet</v>
          </cell>
          <cell r="U443" t="str">
            <v>Electronics</v>
          </cell>
          <cell r="V443" t="str">
            <v>Average</v>
          </cell>
          <cell r="W443" t="str">
            <v>Average</v>
          </cell>
          <cell r="X443" t="str">
            <v>Express</v>
          </cell>
          <cell r="Y443">
            <v>2</v>
          </cell>
          <cell r="Z443">
            <v>2</v>
          </cell>
        </row>
        <row r="444">
          <cell r="A444">
            <v>3406772</v>
          </cell>
          <cell r="B444">
            <v>41496</v>
          </cell>
          <cell r="C444" t="str">
            <v>Olivia Russell</v>
          </cell>
          <cell r="D444" t="str">
            <v>Portsmouth</v>
          </cell>
          <cell r="E444" t="str">
            <v>England</v>
          </cell>
          <cell r="F444" t="str">
            <v>UK</v>
          </cell>
          <cell r="G444">
            <v>55</v>
          </cell>
          <cell r="H444">
            <v>55</v>
          </cell>
          <cell r="I444" t="str">
            <v>Male</v>
          </cell>
          <cell r="J444" t="str">
            <v>Male</v>
          </cell>
          <cell r="K444" t="str">
            <v>High</v>
          </cell>
          <cell r="L444" t="str">
            <v>Regular</v>
          </cell>
          <cell r="M444">
            <v>45094</v>
          </cell>
          <cell r="N444">
            <v>1</v>
          </cell>
          <cell r="O444">
            <v>1</v>
          </cell>
          <cell r="P444">
            <v>195.8041139</v>
          </cell>
          <cell r="Q444">
            <v>195.8041139</v>
          </cell>
          <cell r="R444" t="str">
            <v>Electronics</v>
          </cell>
          <cell r="S444" t="str">
            <v>Electronics</v>
          </cell>
          <cell r="T444" t="str">
            <v>Television</v>
          </cell>
          <cell r="U444" t="str">
            <v>Electronics</v>
          </cell>
          <cell r="V444" t="str">
            <v>Bad</v>
          </cell>
          <cell r="W444" t="str">
            <v>Bad</v>
          </cell>
          <cell r="X444" t="str">
            <v>Same-Day</v>
          </cell>
          <cell r="Y444">
            <v>1</v>
          </cell>
          <cell r="Z444">
            <v>1</v>
          </cell>
        </row>
        <row r="445">
          <cell r="A445">
            <v>7215648</v>
          </cell>
          <cell r="B445">
            <v>85908</v>
          </cell>
          <cell r="C445" t="str">
            <v>Kevin Mckinney</v>
          </cell>
          <cell r="D445" t="str">
            <v>Portsmouth</v>
          </cell>
          <cell r="E445" t="str">
            <v>England</v>
          </cell>
          <cell r="F445" t="str">
            <v>UK</v>
          </cell>
          <cell r="G445">
            <v>37</v>
          </cell>
          <cell r="H445">
            <v>37</v>
          </cell>
          <cell r="I445" t="str">
            <v>Male</v>
          </cell>
          <cell r="J445" t="str">
            <v>Male</v>
          </cell>
          <cell r="K445" t="str">
            <v>High</v>
          </cell>
          <cell r="L445" t="str">
            <v>Regular</v>
          </cell>
          <cell r="M445">
            <v>45005</v>
          </cell>
          <cell r="N445">
            <v>4</v>
          </cell>
          <cell r="O445">
            <v>4</v>
          </cell>
          <cell r="P445">
            <v>279.49403439999998</v>
          </cell>
          <cell r="Q445">
            <v>1117.976138</v>
          </cell>
          <cell r="R445" t="str">
            <v>Home Decor</v>
          </cell>
          <cell r="S445" t="str">
            <v>Home Decor</v>
          </cell>
          <cell r="T445" t="str">
            <v>Lighting</v>
          </cell>
          <cell r="U445" t="str">
            <v>Home Decor</v>
          </cell>
          <cell r="V445" t="str">
            <v>Bad</v>
          </cell>
          <cell r="W445" t="str">
            <v>Bad</v>
          </cell>
          <cell r="X445" t="str">
            <v>Standard</v>
          </cell>
          <cell r="Y445">
            <v>1</v>
          </cell>
          <cell r="Z445">
            <v>1</v>
          </cell>
        </row>
        <row r="446">
          <cell r="A446">
            <v>9185879</v>
          </cell>
          <cell r="B446">
            <v>10010</v>
          </cell>
          <cell r="C446" t="str">
            <v>Ryan Smith</v>
          </cell>
          <cell r="D446" t="str">
            <v>Portsmouth</v>
          </cell>
          <cell r="E446" t="str">
            <v>England</v>
          </cell>
          <cell r="F446" t="str">
            <v>UK</v>
          </cell>
          <cell r="G446">
            <v>32</v>
          </cell>
          <cell r="H446">
            <v>32</v>
          </cell>
          <cell r="I446" t="str">
            <v>Female</v>
          </cell>
          <cell r="J446" t="str">
            <v>Female</v>
          </cell>
          <cell r="K446" t="str">
            <v>Low</v>
          </cell>
          <cell r="L446" t="str">
            <v>Regular</v>
          </cell>
          <cell r="M446">
            <v>45193</v>
          </cell>
          <cell r="N446">
            <v>8</v>
          </cell>
          <cell r="O446">
            <v>8</v>
          </cell>
          <cell r="P446">
            <v>178.6646437</v>
          </cell>
          <cell r="Q446">
            <v>1429.3171500000001</v>
          </cell>
          <cell r="R446" t="str">
            <v>Clothing</v>
          </cell>
          <cell r="S446" t="str">
            <v>Clothing</v>
          </cell>
          <cell r="T446" t="str">
            <v>Shirt</v>
          </cell>
          <cell r="U446" t="str">
            <v>Clothing</v>
          </cell>
          <cell r="V446" t="str">
            <v>Excellent</v>
          </cell>
          <cell r="W446" t="str">
            <v>Excellent</v>
          </cell>
          <cell r="X446" t="str">
            <v>Same-Day</v>
          </cell>
          <cell r="Y446">
            <v>4</v>
          </cell>
          <cell r="Z446">
            <v>4</v>
          </cell>
        </row>
        <row r="447">
          <cell r="A447">
            <v>3556585</v>
          </cell>
          <cell r="B447">
            <v>55609</v>
          </cell>
          <cell r="C447" t="str">
            <v>Andrea Hudson</v>
          </cell>
          <cell r="D447" t="str">
            <v>Portsmouth</v>
          </cell>
          <cell r="E447" t="str">
            <v>England</v>
          </cell>
          <cell r="F447" t="str">
            <v>UK</v>
          </cell>
          <cell r="G447">
            <v>52</v>
          </cell>
          <cell r="H447">
            <v>52</v>
          </cell>
          <cell r="I447" t="str">
            <v>Female</v>
          </cell>
          <cell r="J447" t="str">
            <v>Female</v>
          </cell>
          <cell r="K447" t="str">
            <v>Medium</v>
          </cell>
          <cell r="L447" t="str">
            <v>Regular</v>
          </cell>
          <cell r="M447">
            <v>45322</v>
          </cell>
          <cell r="N447">
            <v>3</v>
          </cell>
          <cell r="O447">
            <v>3</v>
          </cell>
          <cell r="P447">
            <v>221.07437719999999</v>
          </cell>
          <cell r="Q447">
            <v>663.22313150000002</v>
          </cell>
          <cell r="R447" t="str">
            <v>Clothing</v>
          </cell>
          <cell r="S447" t="str">
            <v>Clothing</v>
          </cell>
          <cell r="T447" t="str">
            <v>T-shirt</v>
          </cell>
          <cell r="U447" t="str">
            <v>Clothing</v>
          </cell>
          <cell r="V447" t="str">
            <v>Good</v>
          </cell>
          <cell r="W447" t="str">
            <v>Good</v>
          </cell>
          <cell r="X447" t="str">
            <v>Standard</v>
          </cell>
          <cell r="Y447">
            <v>3</v>
          </cell>
          <cell r="Z447">
            <v>3</v>
          </cell>
        </row>
        <row r="448">
          <cell r="A448">
            <v>6748475</v>
          </cell>
          <cell r="B448">
            <v>26560</v>
          </cell>
          <cell r="C448" t="str">
            <v>Guy Hunter DDS</v>
          </cell>
          <cell r="D448" t="str">
            <v>Portsmouth</v>
          </cell>
          <cell r="E448" t="str">
            <v>England</v>
          </cell>
          <cell r="F448" t="str">
            <v>UK</v>
          </cell>
          <cell r="G448">
            <v>45</v>
          </cell>
          <cell r="H448">
            <v>45</v>
          </cell>
          <cell r="I448" t="str">
            <v>Male</v>
          </cell>
          <cell r="J448" t="str">
            <v>Male</v>
          </cell>
          <cell r="K448" t="str">
            <v>Low</v>
          </cell>
          <cell r="L448" t="str">
            <v>Regular</v>
          </cell>
          <cell r="M448">
            <v>45250</v>
          </cell>
          <cell r="N448">
            <v>9</v>
          </cell>
          <cell r="O448">
            <v>9</v>
          </cell>
          <cell r="P448">
            <v>442.43493230000001</v>
          </cell>
          <cell r="Q448">
            <v>3981.9143899999999</v>
          </cell>
          <cell r="R448" t="str">
            <v>Home Decor</v>
          </cell>
          <cell r="S448" t="str">
            <v>Home Decor</v>
          </cell>
          <cell r="T448" t="str">
            <v>Bathroom</v>
          </cell>
          <cell r="U448" t="str">
            <v>Home Decor</v>
          </cell>
          <cell r="V448" t="str">
            <v>Average</v>
          </cell>
          <cell r="W448" t="str">
            <v>Average</v>
          </cell>
          <cell r="X448" t="str">
            <v>Same-Day</v>
          </cell>
          <cell r="Y448">
            <v>2</v>
          </cell>
          <cell r="Z448">
            <v>2</v>
          </cell>
        </row>
        <row r="449">
          <cell r="A449">
            <v>2011310</v>
          </cell>
          <cell r="B449">
            <v>75834</v>
          </cell>
          <cell r="C449" t="str">
            <v>Cassandra Ross</v>
          </cell>
          <cell r="D449" t="str">
            <v>Portsmouth</v>
          </cell>
          <cell r="E449" t="str">
            <v>England</v>
          </cell>
          <cell r="F449" t="str">
            <v>UK</v>
          </cell>
          <cell r="G449">
            <v>56</v>
          </cell>
          <cell r="H449">
            <v>56</v>
          </cell>
          <cell r="I449" t="str">
            <v>Male</v>
          </cell>
          <cell r="J449" t="str">
            <v>Male</v>
          </cell>
          <cell r="K449" t="str">
            <v>Low</v>
          </cell>
          <cell r="L449" t="str">
            <v>Regular</v>
          </cell>
          <cell r="M449">
            <v>45090</v>
          </cell>
          <cell r="N449">
            <v>7</v>
          </cell>
          <cell r="O449">
            <v>7</v>
          </cell>
          <cell r="P449">
            <v>228.21422029999999</v>
          </cell>
          <cell r="Q449">
            <v>1597.499542</v>
          </cell>
          <cell r="R449" t="str">
            <v>Electronics</v>
          </cell>
          <cell r="S449" t="str">
            <v>Electronics</v>
          </cell>
          <cell r="T449" t="str">
            <v>Smartphone</v>
          </cell>
          <cell r="U449" t="str">
            <v>Electronics</v>
          </cell>
          <cell r="V449" t="str">
            <v>Average</v>
          </cell>
          <cell r="W449" t="str">
            <v>Average</v>
          </cell>
          <cell r="X449" t="str">
            <v>Standard</v>
          </cell>
          <cell r="Y449">
            <v>2</v>
          </cell>
          <cell r="Z449">
            <v>2</v>
          </cell>
        </row>
        <row r="450">
          <cell r="A450">
            <v>3657578</v>
          </cell>
          <cell r="B450">
            <v>98004</v>
          </cell>
          <cell r="C450" t="str">
            <v>Robert Porter</v>
          </cell>
          <cell r="D450" t="str">
            <v>Portsmouth</v>
          </cell>
          <cell r="E450" t="str">
            <v>England</v>
          </cell>
          <cell r="F450" t="str">
            <v>UK</v>
          </cell>
          <cell r="G450">
            <v>40</v>
          </cell>
          <cell r="H450">
            <v>40</v>
          </cell>
          <cell r="I450" t="str">
            <v>Male</v>
          </cell>
          <cell r="J450" t="str">
            <v>Male</v>
          </cell>
          <cell r="K450" t="str">
            <v>High</v>
          </cell>
          <cell r="L450" t="str">
            <v>Regular</v>
          </cell>
          <cell r="M450">
            <v>44993</v>
          </cell>
          <cell r="N450">
            <v>7</v>
          </cell>
          <cell r="O450">
            <v>7</v>
          </cell>
          <cell r="P450">
            <v>243.8367825</v>
          </cell>
          <cell r="Q450">
            <v>1706.857477</v>
          </cell>
          <cell r="R450" t="str">
            <v>Clothing</v>
          </cell>
          <cell r="S450" t="str">
            <v>Clothing</v>
          </cell>
          <cell r="T450" t="str">
            <v>Jeans</v>
          </cell>
          <cell r="U450" t="str">
            <v>Clothing</v>
          </cell>
          <cell r="V450" t="str">
            <v>Average</v>
          </cell>
          <cell r="W450" t="str">
            <v>Average</v>
          </cell>
          <cell r="X450" t="str">
            <v>Standard</v>
          </cell>
          <cell r="Y450">
            <v>2</v>
          </cell>
          <cell r="Z450">
            <v>2</v>
          </cell>
        </row>
        <row r="451">
          <cell r="A451">
            <v>9889077</v>
          </cell>
          <cell r="B451">
            <v>67818</v>
          </cell>
          <cell r="C451" t="str">
            <v>Dawn Frazier</v>
          </cell>
          <cell r="D451" t="str">
            <v>Portsmouth</v>
          </cell>
          <cell r="E451" t="str">
            <v>England</v>
          </cell>
          <cell r="F451" t="str">
            <v>UK</v>
          </cell>
          <cell r="G451">
            <v>27</v>
          </cell>
          <cell r="H451">
            <v>27</v>
          </cell>
          <cell r="I451" t="str">
            <v>Female</v>
          </cell>
          <cell r="J451" t="str">
            <v>Female</v>
          </cell>
          <cell r="K451" t="str">
            <v>Medium</v>
          </cell>
          <cell r="L451" t="str">
            <v>Regular</v>
          </cell>
          <cell r="M451">
            <v>45023</v>
          </cell>
          <cell r="N451">
            <v>8</v>
          </cell>
          <cell r="O451">
            <v>8</v>
          </cell>
          <cell r="P451">
            <v>160.08705230000001</v>
          </cell>
          <cell r="Q451">
            <v>1280.696418</v>
          </cell>
          <cell r="R451" t="str">
            <v>Home Decor</v>
          </cell>
          <cell r="S451" t="str">
            <v>Home Decor</v>
          </cell>
          <cell r="T451" t="str">
            <v>Decorations</v>
          </cell>
          <cell r="U451" t="str">
            <v>Home Decor</v>
          </cell>
          <cell r="V451" t="str">
            <v>Excellent</v>
          </cell>
          <cell r="W451" t="str">
            <v>Excellent</v>
          </cell>
          <cell r="X451" t="str">
            <v>Same-Day</v>
          </cell>
          <cell r="Y451">
            <v>5</v>
          </cell>
          <cell r="Z451">
            <v>5</v>
          </cell>
        </row>
        <row r="452">
          <cell r="A452">
            <v>2691054</v>
          </cell>
          <cell r="B452">
            <v>51655</v>
          </cell>
          <cell r="C452" t="str">
            <v>Amy Marsh</v>
          </cell>
          <cell r="D452" t="str">
            <v>Portsmouth</v>
          </cell>
          <cell r="E452" t="str">
            <v>England</v>
          </cell>
          <cell r="F452" t="str">
            <v>UK</v>
          </cell>
          <cell r="G452">
            <v>64</v>
          </cell>
          <cell r="H452">
            <v>64</v>
          </cell>
          <cell r="I452" t="str">
            <v>Female</v>
          </cell>
          <cell r="J452" t="str">
            <v>Female</v>
          </cell>
          <cell r="K452" t="str">
            <v>Medium</v>
          </cell>
          <cell r="L452" t="str">
            <v>Regular</v>
          </cell>
          <cell r="M452">
            <v>45220</v>
          </cell>
          <cell r="N452">
            <v>6</v>
          </cell>
          <cell r="O452">
            <v>6</v>
          </cell>
          <cell r="P452">
            <v>357.67239219999999</v>
          </cell>
          <cell r="Q452">
            <v>2146.034353</v>
          </cell>
          <cell r="R452" t="str">
            <v>Books</v>
          </cell>
          <cell r="S452" t="str">
            <v>Books</v>
          </cell>
          <cell r="T452" t="str">
            <v>Non-Fiction</v>
          </cell>
          <cell r="U452" t="str">
            <v>Books</v>
          </cell>
          <cell r="V452" t="str">
            <v>Bad</v>
          </cell>
          <cell r="W452" t="str">
            <v>Bad</v>
          </cell>
          <cell r="X452" t="str">
            <v>Same-Day</v>
          </cell>
          <cell r="Y452">
            <v>1</v>
          </cell>
          <cell r="Z452">
            <v>1</v>
          </cell>
        </row>
        <row r="453">
          <cell r="A453">
            <v>8900433</v>
          </cell>
          <cell r="B453">
            <v>39665</v>
          </cell>
          <cell r="C453" t="str">
            <v>Ruth Carter</v>
          </cell>
          <cell r="D453" t="str">
            <v>Portsmouth</v>
          </cell>
          <cell r="E453" t="str">
            <v>England</v>
          </cell>
          <cell r="F453" t="str">
            <v>UK</v>
          </cell>
          <cell r="G453">
            <v>19</v>
          </cell>
          <cell r="H453">
            <v>19</v>
          </cell>
          <cell r="I453" t="str">
            <v>Male</v>
          </cell>
          <cell r="J453" t="str">
            <v>Male</v>
          </cell>
          <cell r="K453" t="str">
            <v>Low</v>
          </cell>
          <cell r="L453" t="str">
            <v>Regular</v>
          </cell>
          <cell r="M453">
            <v>45116</v>
          </cell>
          <cell r="N453">
            <v>1</v>
          </cell>
          <cell r="O453">
            <v>1</v>
          </cell>
          <cell r="P453">
            <v>74.895771699999997</v>
          </cell>
          <cell r="Q453">
            <v>74.895771699999997</v>
          </cell>
          <cell r="R453" t="str">
            <v>Grocery</v>
          </cell>
          <cell r="S453" t="str">
            <v>Grocery</v>
          </cell>
          <cell r="T453" t="str">
            <v>Soft Drink</v>
          </cell>
          <cell r="U453" t="str">
            <v>Grocery</v>
          </cell>
          <cell r="V453" t="str">
            <v>Excellent</v>
          </cell>
          <cell r="W453" t="str">
            <v>Excellent</v>
          </cell>
          <cell r="X453" t="str">
            <v>Standard</v>
          </cell>
          <cell r="Y453">
            <v>5</v>
          </cell>
          <cell r="Z453">
            <v>5</v>
          </cell>
        </row>
        <row r="454">
          <cell r="A454">
            <v>3356175</v>
          </cell>
          <cell r="B454">
            <v>65112</v>
          </cell>
          <cell r="C454" t="str">
            <v>Michael Gamble</v>
          </cell>
          <cell r="D454" t="str">
            <v>Portsmouth</v>
          </cell>
          <cell r="E454" t="str">
            <v>England</v>
          </cell>
          <cell r="F454" t="str">
            <v>UK</v>
          </cell>
          <cell r="G454">
            <v>53</v>
          </cell>
          <cell r="H454">
            <v>53</v>
          </cell>
          <cell r="I454" t="str">
            <v>Male</v>
          </cell>
          <cell r="J454" t="str">
            <v>Male</v>
          </cell>
          <cell r="K454" t="str">
            <v>High</v>
          </cell>
          <cell r="L454" t="str">
            <v>Regular</v>
          </cell>
          <cell r="M454">
            <v>45181</v>
          </cell>
          <cell r="N454">
            <v>1</v>
          </cell>
          <cell r="O454">
            <v>1</v>
          </cell>
          <cell r="P454">
            <v>135.41360800000001</v>
          </cell>
          <cell r="Q454">
            <v>135.41360800000001</v>
          </cell>
          <cell r="R454" t="str">
            <v>Clothing</v>
          </cell>
          <cell r="S454" t="str">
            <v>Clothing</v>
          </cell>
          <cell r="T454" t="str">
            <v>Shorts</v>
          </cell>
          <cell r="U454" t="str">
            <v>Clothing</v>
          </cell>
          <cell r="V454" t="str">
            <v>Good</v>
          </cell>
          <cell r="W454" t="str">
            <v>Good</v>
          </cell>
          <cell r="X454" t="str">
            <v>Same-Day</v>
          </cell>
          <cell r="Y454">
            <v>4</v>
          </cell>
          <cell r="Z454">
            <v>4</v>
          </cell>
        </row>
        <row r="455">
          <cell r="A455">
            <v>5879553</v>
          </cell>
          <cell r="B455">
            <v>13459</v>
          </cell>
          <cell r="C455" t="str">
            <v>Ricky Parker</v>
          </cell>
          <cell r="D455" t="str">
            <v>Portsmouth</v>
          </cell>
          <cell r="E455" t="str">
            <v>England</v>
          </cell>
          <cell r="F455" t="str">
            <v>UK</v>
          </cell>
          <cell r="G455">
            <v>52</v>
          </cell>
          <cell r="H455">
            <v>52</v>
          </cell>
          <cell r="I455" t="str">
            <v>Male</v>
          </cell>
          <cell r="J455" t="str">
            <v>Male</v>
          </cell>
          <cell r="K455" t="str">
            <v>Medium</v>
          </cell>
          <cell r="L455" t="str">
            <v>Regular</v>
          </cell>
          <cell r="M455">
            <v>45296</v>
          </cell>
          <cell r="N455">
            <v>1</v>
          </cell>
          <cell r="O455">
            <v>1</v>
          </cell>
          <cell r="P455">
            <v>431.11620340000002</v>
          </cell>
          <cell r="Q455">
            <v>431.11620340000002</v>
          </cell>
          <cell r="R455" t="str">
            <v>Clothing</v>
          </cell>
          <cell r="S455" t="str">
            <v>Clothing</v>
          </cell>
          <cell r="T455" t="str">
            <v>Jacket</v>
          </cell>
          <cell r="U455" t="str">
            <v>Clothing</v>
          </cell>
          <cell r="V455" t="str">
            <v>Excellent</v>
          </cell>
          <cell r="W455" t="str">
            <v>Excellent</v>
          </cell>
          <cell r="X455" t="str">
            <v>Standard</v>
          </cell>
          <cell r="Y455">
            <v>4</v>
          </cell>
          <cell r="Z455">
            <v>4</v>
          </cell>
        </row>
        <row r="456">
          <cell r="A456">
            <v>5670261</v>
          </cell>
          <cell r="B456">
            <v>14341</v>
          </cell>
          <cell r="C456" t="str">
            <v>Gabriella Frazier</v>
          </cell>
          <cell r="D456" t="str">
            <v>Portsmouth</v>
          </cell>
          <cell r="E456" t="str">
            <v>England</v>
          </cell>
          <cell r="F456" t="str">
            <v>UK</v>
          </cell>
          <cell r="G456">
            <v>57</v>
          </cell>
          <cell r="H456">
            <v>57</v>
          </cell>
          <cell r="I456" t="str">
            <v>Female</v>
          </cell>
          <cell r="J456" t="str">
            <v>Female</v>
          </cell>
          <cell r="K456" t="str">
            <v>Low</v>
          </cell>
          <cell r="L456" t="str">
            <v>Regular</v>
          </cell>
          <cell r="M456">
            <v>45120</v>
          </cell>
          <cell r="N456">
            <v>4</v>
          </cell>
          <cell r="O456">
            <v>4</v>
          </cell>
          <cell r="P456">
            <v>389.85740249999998</v>
          </cell>
          <cell r="Q456">
            <v>1559.4296099999999</v>
          </cell>
          <cell r="R456" t="str">
            <v>Electronics</v>
          </cell>
          <cell r="S456" t="str">
            <v>Electronics</v>
          </cell>
          <cell r="T456" t="str">
            <v>Laptop</v>
          </cell>
          <cell r="U456" t="str">
            <v>Electronics</v>
          </cell>
          <cell r="V456" t="str">
            <v>Good</v>
          </cell>
          <cell r="W456" t="str">
            <v>Good</v>
          </cell>
          <cell r="X456" t="str">
            <v>Standard</v>
          </cell>
          <cell r="Y456">
            <v>4</v>
          </cell>
          <cell r="Z456">
            <v>4</v>
          </cell>
        </row>
        <row r="457">
          <cell r="A457">
            <v>5604834</v>
          </cell>
          <cell r="B457">
            <v>39167</v>
          </cell>
          <cell r="C457" t="str">
            <v>Linda Sims</v>
          </cell>
          <cell r="D457" t="str">
            <v>Portsmouth</v>
          </cell>
          <cell r="E457" t="str">
            <v>England</v>
          </cell>
          <cell r="F457" t="str">
            <v>UK</v>
          </cell>
          <cell r="G457">
            <v>54</v>
          </cell>
          <cell r="H457">
            <v>54</v>
          </cell>
          <cell r="I457" t="str">
            <v>Female</v>
          </cell>
          <cell r="J457" t="str">
            <v>Female</v>
          </cell>
          <cell r="K457" t="str">
            <v>Low</v>
          </cell>
          <cell r="L457" t="str">
            <v>Regular</v>
          </cell>
          <cell r="M457">
            <v>44989</v>
          </cell>
          <cell r="N457">
            <v>1</v>
          </cell>
          <cell r="O457">
            <v>1</v>
          </cell>
          <cell r="P457">
            <v>436.05455540000003</v>
          </cell>
          <cell r="Q457">
            <v>436.05455540000003</v>
          </cell>
          <cell r="R457" t="str">
            <v>Grocery</v>
          </cell>
          <cell r="S457" t="str">
            <v>Grocery</v>
          </cell>
          <cell r="T457" t="str">
            <v>Juice</v>
          </cell>
          <cell r="U457" t="str">
            <v>Grocery</v>
          </cell>
          <cell r="V457" t="str">
            <v>Average</v>
          </cell>
          <cell r="W457" t="str">
            <v>Average</v>
          </cell>
          <cell r="X457" t="str">
            <v>Standard</v>
          </cell>
          <cell r="Y457">
            <v>2</v>
          </cell>
          <cell r="Z457">
            <v>2</v>
          </cell>
        </row>
        <row r="458">
          <cell r="A458">
            <v>9129532</v>
          </cell>
          <cell r="B458">
            <v>11029</v>
          </cell>
          <cell r="C458" t="str">
            <v>John Phillips</v>
          </cell>
          <cell r="D458" t="str">
            <v>Portsmouth</v>
          </cell>
          <cell r="E458" t="str">
            <v>England</v>
          </cell>
          <cell r="F458" t="str">
            <v>UK</v>
          </cell>
          <cell r="G458">
            <v>19</v>
          </cell>
          <cell r="H458">
            <v>19</v>
          </cell>
          <cell r="I458" t="str">
            <v>Female</v>
          </cell>
          <cell r="J458" t="str">
            <v>Female</v>
          </cell>
          <cell r="K458" t="str">
            <v>Medium</v>
          </cell>
          <cell r="L458" t="str">
            <v>Regular</v>
          </cell>
          <cell r="M458">
            <v>45055</v>
          </cell>
          <cell r="N458">
            <v>1</v>
          </cell>
          <cell r="O458">
            <v>1</v>
          </cell>
          <cell r="P458">
            <v>226.807244</v>
          </cell>
          <cell r="Q458">
            <v>226.807244</v>
          </cell>
          <cell r="R458" t="str">
            <v>Books</v>
          </cell>
          <cell r="S458" t="str">
            <v>Books</v>
          </cell>
          <cell r="T458" t="str">
            <v>Fiction</v>
          </cell>
          <cell r="U458" t="str">
            <v>Books</v>
          </cell>
          <cell r="V458" t="str">
            <v>Good</v>
          </cell>
          <cell r="W458" t="str">
            <v>Good</v>
          </cell>
          <cell r="X458" t="str">
            <v>Standard</v>
          </cell>
          <cell r="Y458">
            <v>4</v>
          </cell>
          <cell r="Z458">
            <v>4</v>
          </cell>
        </row>
        <row r="459">
          <cell r="A459">
            <v>8991228</v>
          </cell>
          <cell r="B459">
            <v>42624</v>
          </cell>
          <cell r="C459" t="str">
            <v>Joshua Chang</v>
          </cell>
          <cell r="D459" t="str">
            <v>Portsmouth</v>
          </cell>
          <cell r="E459" t="str">
            <v>England</v>
          </cell>
          <cell r="F459" t="str">
            <v>UK</v>
          </cell>
          <cell r="G459">
            <v>32</v>
          </cell>
          <cell r="H459">
            <v>32</v>
          </cell>
          <cell r="I459" t="str">
            <v>Male</v>
          </cell>
          <cell r="J459" t="str">
            <v>Male</v>
          </cell>
          <cell r="K459" t="str">
            <v>Low</v>
          </cell>
          <cell r="L459" t="str">
            <v>Regular</v>
          </cell>
          <cell r="M459">
            <v>45140</v>
          </cell>
          <cell r="N459">
            <v>6</v>
          </cell>
          <cell r="O459">
            <v>6</v>
          </cell>
          <cell r="P459">
            <v>332.42816449999998</v>
          </cell>
          <cell r="Q459">
            <v>1994.5689870000001</v>
          </cell>
          <cell r="R459" t="str">
            <v>Home Decor</v>
          </cell>
          <cell r="S459" t="str">
            <v>Home Decor</v>
          </cell>
          <cell r="T459" t="str">
            <v>Furniture</v>
          </cell>
          <cell r="U459" t="str">
            <v>Home Decor</v>
          </cell>
          <cell r="V459" t="str">
            <v>Bad</v>
          </cell>
          <cell r="W459" t="str">
            <v>Bad</v>
          </cell>
          <cell r="X459" t="str">
            <v>Express</v>
          </cell>
          <cell r="Y459">
            <v>1</v>
          </cell>
          <cell r="Z459">
            <v>1</v>
          </cell>
        </row>
        <row r="460">
          <cell r="A460">
            <v>7165666</v>
          </cell>
          <cell r="B460">
            <v>62402</v>
          </cell>
          <cell r="C460" t="str">
            <v>Rachael Lewis</v>
          </cell>
          <cell r="D460" t="str">
            <v>Portsmouth</v>
          </cell>
          <cell r="E460" t="str">
            <v>England</v>
          </cell>
          <cell r="F460" t="str">
            <v>UK</v>
          </cell>
          <cell r="G460">
            <v>70</v>
          </cell>
          <cell r="H460">
            <v>70</v>
          </cell>
          <cell r="I460" t="str">
            <v>Male</v>
          </cell>
          <cell r="J460" t="str">
            <v>Male</v>
          </cell>
          <cell r="K460" t="str">
            <v>Medium</v>
          </cell>
          <cell r="L460" t="str">
            <v>Regular</v>
          </cell>
          <cell r="M460">
            <v>45270</v>
          </cell>
          <cell r="N460">
            <v>4</v>
          </cell>
          <cell r="O460">
            <v>4</v>
          </cell>
          <cell r="P460">
            <v>16.672012769999998</v>
          </cell>
          <cell r="Q460">
            <v>66.688051090000002</v>
          </cell>
          <cell r="R460" t="str">
            <v>Grocery</v>
          </cell>
          <cell r="S460" t="str">
            <v>Grocery</v>
          </cell>
          <cell r="T460" t="str">
            <v>Coffee</v>
          </cell>
          <cell r="U460" t="str">
            <v>Grocery</v>
          </cell>
          <cell r="V460" t="str">
            <v>Average</v>
          </cell>
          <cell r="W460" t="str">
            <v>Average</v>
          </cell>
          <cell r="X460" t="str">
            <v>Same-Day</v>
          </cell>
          <cell r="Y460">
            <v>2</v>
          </cell>
          <cell r="Z460">
            <v>2</v>
          </cell>
        </row>
        <row r="461">
          <cell r="A461">
            <v>1147112</v>
          </cell>
          <cell r="B461">
            <v>20692</v>
          </cell>
          <cell r="C461" t="str">
            <v>Christine Nelson</v>
          </cell>
          <cell r="D461" t="str">
            <v>Portsmouth</v>
          </cell>
          <cell r="E461" t="str">
            <v>England</v>
          </cell>
          <cell r="F461" t="str">
            <v>UK</v>
          </cell>
          <cell r="G461">
            <v>35</v>
          </cell>
          <cell r="H461">
            <v>35</v>
          </cell>
          <cell r="I461" t="str">
            <v>Male</v>
          </cell>
          <cell r="J461" t="str">
            <v>Male</v>
          </cell>
          <cell r="K461" t="str">
            <v>Low</v>
          </cell>
          <cell r="L461" t="str">
            <v>Regular</v>
          </cell>
          <cell r="M461">
            <v>45119</v>
          </cell>
          <cell r="N461">
            <v>1</v>
          </cell>
          <cell r="O461">
            <v>1</v>
          </cell>
          <cell r="P461">
            <v>118.5741697</v>
          </cell>
          <cell r="Q461">
            <v>118.5741697</v>
          </cell>
          <cell r="R461" t="str">
            <v>Books</v>
          </cell>
          <cell r="S461" t="str">
            <v>Books</v>
          </cell>
          <cell r="T461" t="str">
            <v>Children's</v>
          </cell>
          <cell r="U461" t="str">
            <v>Books</v>
          </cell>
          <cell r="V461" t="str">
            <v>Bad</v>
          </cell>
          <cell r="W461" t="str">
            <v>Bad</v>
          </cell>
          <cell r="X461" t="str">
            <v>Standard</v>
          </cell>
          <cell r="Y461">
            <v>1</v>
          </cell>
          <cell r="Z461">
            <v>1</v>
          </cell>
        </row>
        <row r="462">
          <cell r="A462">
            <v>8388105</v>
          </cell>
          <cell r="B462">
            <v>55182</v>
          </cell>
          <cell r="C462" t="str">
            <v>Timothy Rodriguez DVM</v>
          </cell>
          <cell r="D462" t="str">
            <v>Portsmouth</v>
          </cell>
          <cell r="E462" t="str">
            <v>England</v>
          </cell>
          <cell r="F462" t="str">
            <v>UK</v>
          </cell>
          <cell r="G462">
            <v>59</v>
          </cell>
          <cell r="H462">
            <v>59</v>
          </cell>
          <cell r="I462" t="str">
            <v>Female</v>
          </cell>
          <cell r="J462" t="str">
            <v>Female</v>
          </cell>
          <cell r="K462" t="str">
            <v>Low</v>
          </cell>
          <cell r="L462" t="str">
            <v>Regular</v>
          </cell>
          <cell r="M462">
            <v>45175</v>
          </cell>
          <cell r="N462">
            <v>7</v>
          </cell>
          <cell r="O462">
            <v>7</v>
          </cell>
          <cell r="P462">
            <v>240.77017420000001</v>
          </cell>
          <cell r="Q462">
            <v>1685.39122</v>
          </cell>
          <cell r="R462" t="str">
            <v>Clothing</v>
          </cell>
          <cell r="S462" t="str">
            <v>Clothing</v>
          </cell>
          <cell r="T462" t="str">
            <v>Shoes</v>
          </cell>
          <cell r="U462" t="str">
            <v>Clothing</v>
          </cell>
          <cell r="V462" t="str">
            <v>Excellent</v>
          </cell>
          <cell r="W462" t="str">
            <v>Excellent</v>
          </cell>
          <cell r="X462" t="str">
            <v>Standard</v>
          </cell>
          <cell r="Y462">
            <v>4</v>
          </cell>
          <cell r="Z462">
            <v>4</v>
          </cell>
        </row>
        <row r="463">
          <cell r="A463">
            <v>7513061</v>
          </cell>
          <cell r="B463">
            <v>84643</v>
          </cell>
          <cell r="C463" t="str">
            <v>Daniel Kelley</v>
          </cell>
          <cell r="D463" t="str">
            <v>Portsmouth</v>
          </cell>
          <cell r="E463" t="str">
            <v>England</v>
          </cell>
          <cell r="F463" t="str">
            <v>UK</v>
          </cell>
          <cell r="G463">
            <v>63</v>
          </cell>
          <cell r="H463">
            <v>63</v>
          </cell>
          <cell r="I463" t="str">
            <v>Male</v>
          </cell>
          <cell r="J463" t="str">
            <v>Male</v>
          </cell>
          <cell r="K463" t="str">
            <v>Medium</v>
          </cell>
          <cell r="L463" t="str">
            <v>Regular</v>
          </cell>
          <cell r="M463">
            <v>44998</v>
          </cell>
          <cell r="N463">
            <v>5</v>
          </cell>
          <cell r="O463">
            <v>5</v>
          </cell>
          <cell r="P463">
            <v>367.98365919999998</v>
          </cell>
          <cell r="Q463">
            <v>1839.9182960000001</v>
          </cell>
          <cell r="R463" t="str">
            <v>Grocery</v>
          </cell>
          <cell r="S463" t="str">
            <v>Grocery</v>
          </cell>
          <cell r="T463" t="str">
            <v>Water</v>
          </cell>
          <cell r="U463" t="str">
            <v>Grocery</v>
          </cell>
          <cell r="V463" t="str">
            <v>Good</v>
          </cell>
          <cell r="W463" t="str">
            <v>Good</v>
          </cell>
          <cell r="X463" t="str">
            <v>Express</v>
          </cell>
          <cell r="Y463">
            <v>3</v>
          </cell>
          <cell r="Z463">
            <v>3</v>
          </cell>
        </row>
        <row r="464">
          <cell r="A464">
            <v>2670235</v>
          </cell>
          <cell r="B464">
            <v>23180</v>
          </cell>
          <cell r="C464" t="str">
            <v>Rick Brown</v>
          </cell>
          <cell r="D464" t="str">
            <v>Portsmouth</v>
          </cell>
          <cell r="E464" t="str">
            <v>England</v>
          </cell>
          <cell r="F464" t="str">
            <v>UK</v>
          </cell>
          <cell r="G464">
            <v>35</v>
          </cell>
          <cell r="H464">
            <v>35</v>
          </cell>
          <cell r="I464" t="str">
            <v>Female</v>
          </cell>
          <cell r="J464" t="str">
            <v>Female</v>
          </cell>
          <cell r="K464" t="str">
            <v>Medium</v>
          </cell>
          <cell r="L464" t="str">
            <v>Regular</v>
          </cell>
          <cell r="M464">
            <v>45180</v>
          </cell>
          <cell r="N464">
            <v>3</v>
          </cell>
          <cell r="O464">
            <v>3</v>
          </cell>
          <cell r="P464">
            <v>197.9684173</v>
          </cell>
          <cell r="Q464">
            <v>593.90525200000002</v>
          </cell>
          <cell r="R464" t="str">
            <v>Grocery</v>
          </cell>
          <cell r="S464" t="str">
            <v>Grocery</v>
          </cell>
          <cell r="T464" t="str">
            <v>Juice</v>
          </cell>
          <cell r="U464" t="str">
            <v>Grocery</v>
          </cell>
          <cell r="V464" t="str">
            <v>Average</v>
          </cell>
          <cell r="W464" t="str">
            <v>Average</v>
          </cell>
          <cell r="X464" t="str">
            <v>Standard</v>
          </cell>
          <cell r="Y464">
            <v>2</v>
          </cell>
          <cell r="Z464">
            <v>2</v>
          </cell>
        </row>
        <row r="465">
          <cell r="A465">
            <v>5256338</v>
          </cell>
          <cell r="B465">
            <v>75024</v>
          </cell>
          <cell r="C465" t="str">
            <v>Alicia Spencer</v>
          </cell>
          <cell r="D465" t="str">
            <v>Portsmouth</v>
          </cell>
          <cell r="E465" t="str">
            <v>England</v>
          </cell>
          <cell r="F465" t="str">
            <v>UK</v>
          </cell>
          <cell r="G465">
            <v>55</v>
          </cell>
          <cell r="H465">
            <v>55</v>
          </cell>
          <cell r="I465" t="str">
            <v>Male</v>
          </cell>
          <cell r="J465" t="str">
            <v>Male</v>
          </cell>
          <cell r="K465" t="str">
            <v>Low</v>
          </cell>
          <cell r="L465" t="str">
            <v>Regular</v>
          </cell>
          <cell r="M465">
            <v>45077</v>
          </cell>
          <cell r="N465">
            <v>1</v>
          </cell>
          <cell r="O465">
            <v>1</v>
          </cell>
          <cell r="P465">
            <v>331.83922819999998</v>
          </cell>
          <cell r="Q465">
            <v>331.83922819999998</v>
          </cell>
          <cell r="R465" t="str">
            <v>Grocery</v>
          </cell>
          <cell r="S465" t="str">
            <v>Grocery</v>
          </cell>
          <cell r="T465" t="str">
            <v>Soft Drink</v>
          </cell>
          <cell r="U465" t="str">
            <v>Grocery</v>
          </cell>
          <cell r="V465" t="str">
            <v>Good</v>
          </cell>
          <cell r="W465" t="str">
            <v>Good</v>
          </cell>
          <cell r="X465" t="str">
            <v>Express</v>
          </cell>
          <cell r="Y465">
            <v>4</v>
          </cell>
          <cell r="Z465">
            <v>4</v>
          </cell>
        </row>
        <row r="466">
          <cell r="A466">
            <v>5325812</v>
          </cell>
          <cell r="B466">
            <v>23314</v>
          </cell>
          <cell r="C466" t="str">
            <v>Angela Davis</v>
          </cell>
          <cell r="D466" t="str">
            <v>Portsmouth</v>
          </cell>
          <cell r="E466" t="str">
            <v>England</v>
          </cell>
          <cell r="F466" t="str">
            <v>UK</v>
          </cell>
          <cell r="G466">
            <v>66</v>
          </cell>
          <cell r="H466">
            <v>66</v>
          </cell>
          <cell r="I466" t="str">
            <v>Male</v>
          </cell>
          <cell r="J466" t="str">
            <v>Male</v>
          </cell>
          <cell r="K466" t="str">
            <v>Low</v>
          </cell>
          <cell r="L466" t="str">
            <v>Regular</v>
          </cell>
          <cell r="M466">
            <v>45246</v>
          </cell>
          <cell r="N466">
            <v>8</v>
          </cell>
          <cell r="O466">
            <v>8</v>
          </cell>
          <cell r="P466">
            <v>74.513312209999995</v>
          </cell>
          <cell r="Q466">
            <v>596.10649769999998</v>
          </cell>
          <cell r="R466" t="str">
            <v>Books</v>
          </cell>
          <cell r="S466" t="str">
            <v>Books</v>
          </cell>
          <cell r="T466" t="str">
            <v>Children's</v>
          </cell>
          <cell r="U466" t="str">
            <v>Books</v>
          </cell>
          <cell r="V466" t="str">
            <v>Average</v>
          </cell>
          <cell r="W466" t="str">
            <v>Average</v>
          </cell>
          <cell r="X466" t="str">
            <v>Express</v>
          </cell>
          <cell r="Y466">
            <v>2</v>
          </cell>
          <cell r="Z466">
            <v>2</v>
          </cell>
        </row>
        <row r="467">
          <cell r="A467">
            <v>3577079</v>
          </cell>
          <cell r="B467">
            <v>25390</v>
          </cell>
          <cell r="C467" t="str">
            <v>Dr. Rachel Larsen</v>
          </cell>
          <cell r="D467" t="str">
            <v>Portsmouth</v>
          </cell>
          <cell r="E467" t="str">
            <v>England</v>
          </cell>
          <cell r="F467" t="str">
            <v>UK</v>
          </cell>
          <cell r="G467">
            <v>22</v>
          </cell>
          <cell r="H467">
            <v>22</v>
          </cell>
          <cell r="I467" t="str">
            <v>Male</v>
          </cell>
          <cell r="J467" t="str">
            <v>Male</v>
          </cell>
          <cell r="K467" t="str">
            <v>Low</v>
          </cell>
          <cell r="L467" t="str">
            <v>Regular</v>
          </cell>
          <cell r="M467">
            <v>45327</v>
          </cell>
          <cell r="N467">
            <v>6</v>
          </cell>
          <cell r="O467">
            <v>6</v>
          </cell>
          <cell r="P467">
            <v>183.45652010000001</v>
          </cell>
          <cell r="Q467">
            <v>1100.73912</v>
          </cell>
          <cell r="R467" t="str">
            <v>Electronics</v>
          </cell>
          <cell r="S467" t="str">
            <v>Electronics</v>
          </cell>
          <cell r="T467" t="str">
            <v>Television</v>
          </cell>
          <cell r="U467" t="str">
            <v>Electronics</v>
          </cell>
          <cell r="V467" t="str">
            <v>Excellent</v>
          </cell>
          <cell r="W467" t="str">
            <v>Excellent</v>
          </cell>
          <cell r="X467" t="str">
            <v>Standard</v>
          </cell>
          <cell r="Y467">
            <v>5</v>
          </cell>
          <cell r="Z467">
            <v>5</v>
          </cell>
        </row>
        <row r="468">
          <cell r="A468">
            <v>2530387</v>
          </cell>
          <cell r="B468">
            <v>82606</v>
          </cell>
          <cell r="C468" t="str">
            <v>John Kelly</v>
          </cell>
          <cell r="D468" t="str">
            <v>Portsmouth</v>
          </cell>
          <cell r="E468" t="str">
            <v>England</v>
          </cell>
          <cell r="F468" t="str">
            <v>UK</v>
          </cell>
          <cell r="G468">
            <v>28</v>
          </cell>
          <cell r="H468">
            <v>28</v>
          </cell>
          <cell r="I468" t="str">
            <v>Male</v>
          </cell>
          <cell r="J468" t="str">
            <v>Male</v>
          </cell>
          <cell r="K468" t="str">
            <v>Low</v>
          </cell>
          <cell r="L468" t="str">
            <v>Regular</v>
          </cell>
          <cell r="M468">
            <v>45217</v>
          </cell>
          <cell r="N468">
            <v>5</v>
          </cell>
          <cell r="O468">
            <v>5</v>
          </cell>
          <cell r="P468">
            <v>239.54796339999999</v>
          </cell>
          <cell r="Q468">
            <v>1197.7398169999999</v>
          </cell>
          <cell r="R468" t="str">
            <v>Electronics</v>
          </cell>
          <cell r="S468" t="str">
            <v>Electronics</v>
          </cell>
          <cell r="T468" t="str">
            <v>Tablet</v>
          </cell>
          <cell r="U468" t="str">
            <v>Electronics</v>
          </cell>
          <cell r="V468" t="str">
            <v>Bad</v>
          </cell>
          <cell r="W468" t="str">
            <v>Bad</v>
          </cell>
          <cell r="X468" t="str">
            <v>Same-Day</v>
          </cell>
          <cell r="Y468">
            <v>1</v>
          </cell>
          <cell r="Z468">
            <v>1</v>
          </cell>
        </row>
        <row r="469">
          <cell r="A469">
            <v>7708883</v>
          </cell>
          <cell r="B469">
            <v>66590</v>
          </cell>
          <cell r="C469" t="str">
            <v>Ashley Clark</v>
          </cell>
          <cell r="D469" t="str">
            <v>Portsmouth</v>
          </cell>
          <cell r="E469" t="str">
            <v>England</v>
          </cell>
          <cell r="F469" t="str">
            <v>UK</v>
          </cell>
          <cell r="G469">
            <v>23</v>
          </cell>
          <cell r="H469">
            <v>23</v>
          </cell>
          <cell r="I469" t="str">
            <v>Female</v>
          </cell>
          <cell r="J469" t="str">
            <v>Female</v>
          </cell>
          <cell r="K469" t="str">
            <v>High</v>
          </cell>
          <cell r="L469" t="str">
            <v>Regular</v>
          </cell>
          <cell r="M469">
            <v>45244</v>
          </cell>
          <cell r="N469">
            <v>6</v>
          </cell>
          <cell r="O469">
            <v>6</v>
          </cell>
          <cell r="P469">
            <v>273.55891930000001</v>
          </cell>
          <cell r="Q469">
            <v>1641.3535159999999</v>
          </cell>
          <cell r="R469" t="str">
            <v>Home Decor</v>
          </cell>
          <cell r="S469" t="str">
            <v>Home Decor</v>
          </cell>
          <cell r="T469" t="str">
            <v>Furniture</v>
          </cell>
          <cell r="U469" t="str">
            <v>Home Decor</v>
          </cell>
          <cell r="V469" t="str">
            <v>Good</v>
          </cell>
          <cell r="W469" t="str">
            <v>Good</v>
          </cell>
          <cell r="X469" t="str">
            <v>Same-Day</v>
          </cell>
          <cell r="Y469">
            <v>4</v>
          </cell>
          <cell r="Z469">
            <v>4</v>
          </cell>
        </row>
        <row r="470">
          <cell r="A470">
            <v>8453854</v>
          </cell>
          <cell r="B470">
            <v>63858</v>
          </cell>
          <cell r="C470" t="str">
            <v>Michael Tyler</v>
          </cell>
          <cell r="D470" t="str">
            <v>Portsmouth</v>
          </cell>
          <cell r="E470" t="str">
            <v>England</v>
          </cell>
          <cell r="F470" t="str">
            <v>UK</v>
          </cell>
          <cell r="G470">
            <v>64</v>
          </cell>
          <cell r="H470">
            <v>64</v>
          </cell>
          <cell r="I470" t="str">
            <v>Male</v>
          </cell>
          <cell r="J470" t="str">
            <v>Male</v>
          </cell>
          <cell r="K470" t="str">
            <v>Medium</v>
          </cell>
          <cell r="L470" t="str">
            <v>Regular</v>
          </cell>
          <cell r="M470">
            <v>45058</v>
          </cell>
          <cell r="N470">
            <v>3</v>
          </cell>
          <cell r="O470">
            <v>3</v>
          </cell>
          <cell r="P470">
            <v>468.57518370000003</v>
          </cell>
          <cell r="Q470">
            <v>1405.725551</v>
          </cell>
          <cell r="R470" t="str">
            <v>Clothing</v>
          </cell>
          <cell r="S470" t="str">
            <v>Clothing</v>
          </cell>
          <cell r="T470" t="str">
            <v>T-shirt</v>
          </cell>
          <cell r="U470" t="str">
            <v>Clothing</v>
          </cell>
          <cell r="V470" t="str">
            <v>Excellent</v>
          </cell>
          <cell r="W470" t="str">
            <v>Excellent</v>
          </cell>
          <cell r="X470" t="str">
            <v>Standard</v>
          </cell>
          <cell r="Y470">
            <v>5</v>
          </cell>
          <cell r="Z470">
            <v>5</v>
          </cell>
        </row>
        <row r="471">
          <cell r="A471">
            <v>3882390</v>
          </cell>
          <cell r="B471">
            <v>89973</v>
          </cell>
          <cell r="C471" t="str">
            <v>Veronica Miles</v>
          </cell>
          <cell r="D471" t="str">
            <v>Portsmouth</v>
          </cell>
          <cell r="E471" t="str">
            <v>England</v>
          </cell>
          <cell r="F471" t="str">
            <v>UK</v>
          </cell>
          <cell r="G471">
            <v>70</v>
          </cell>
          <cell r="H471">
            <v>70</v>
          </cell>
          <cell r="I471" t="str">
            <v>Female</v>
          </cell>
          <cell r="J471" t="str">
            <v>Female</v>
          </cell>
          <cell r="K471" t="str">
            <v>Low</v>
          </cell>
          <cell r="L471" t="str">
            <v>Regular</v>
          </cell>
          <cell r="M471">
            <v>45186</v>
          </cell>
          <cell r="N471">
            <v>4</v>
          </cell>
          <cell r="O471">
            <v>4</v>
          </cell>
          <cell r="P471">
            <v>120.9730613</v>
          </cell>
          <cell r="Q471">
            <v>483.89224510000003</v>
          </cell>
          <cell r="R471" t="str">
            <v>Books</v>
          </cell>
          <cell r="S471" t="str">
            <v>Books</v>
          </cell>
          <cell r="T471" t="str">
            <v>Thriller</v>
          </cell>
          <cell r="U471" t="str">
            <v>Books</v>
          </cell>
          <cell r="V471" t="str">
            <v>Average</v>
          </cell>
          <cell r="W471" t="str">
            <v>Average</v>
          </cell>
          <cell r="X471" t="str">
            <v>Express</v>
          </cell>
          <cell r="Y471">
            <v>2</v>
          </cell>
          <cell r="Z471">
            <v>2</v>
          </cell>
        </row>
        <row r="472">
          <cell r="A472">
            <v>1330153</v>
          </cell>
          <cell r="B472">
            <v>12267</v>
          </cell>
          <cell r="C472" t="str">
            <v>Shawna Perez</v>
          </cell>
          <cell r="D472" t="str">
            <v>Portsmouth</v>
          </cell>
          <cell r="E472" t="str">
            <v>England</v>
          </cell>
          <cell r="F472" t="str">
            <v>UK</v>
          </cell>
          <cell r="G472">
            <v>67</v>
          </cell>
          <cell r="H472">
            <v>67</v>
          </cell>
          <cell r="I472" t="str">
            <v>Male</v>
          </cell>
          <cell r="J472" t="str">
            <v>Male</v>
          </cell>
          <cell r="K472" t="str">
            <v>High</v>
          </cell>
          <cell r="L472" t="str">
            <v>Regular</v>
          </cell>
          <cell r="M472">
            <v>45306</v>
          </cell>
          <cell r="N472">
            <v>1</v>
          </cell>
          <cell r="O472">
            <v>1</v>
          </cell>
          <cell r="P472">
            <v>162.86564390000001</v>
          </cell>
          <cell r="Q472">
            <v>162.86564390000001</v>
          </cell>
          <cell r="R472" t="str">
            <v>Home Decor</v>
          </cell>
          <cell r="S472" t="str">
            <v>Home Decor</v>
          </cell>
          <cell r="T472" t="str">
            <v>Bedding</v>
          </cell>
          <cell r="U472" t="str">
            <v>Home Decor</v>
          </cell>
          <cell r="V472" t="str">
            <v>Bad</v>
          </cell>
          <cell r="W472" t="str">
            <v>Bad</v>
          </cell>
          <cell r="X472" t="str">
            <v>Express</v>
          </cell>
          <cell r="Y472">
            <v>1</v>
          </cell>
          <cell r="Z472">
            <v>1</v>
          </cell>
        </row>
        <row r="473">
          <cell r="A473">
            <v>6201345</v>
          </cell>
          <cell r="B473">
            <v>11789</v>
          </cell>
          <cell r="C473" t="str">
            <v>Ronald Wallace</v>
          </cell>
          <cell r="D473" t="str">
            <v>Portsmouth</v>
          </cell>
          <cell r="E473" t="str">
            <v>England</v>
          </cell>
          <cell r="F473" t="str">
            <v>UK</v>
          </cell>
          <cell r="G473">
            <v>69</v>
          </cell>
          <cell r="H473">
            <v>69</v>
          </cell>
          <cell r="I473" t="str">
            <v>Male</v>
          </cell>
          <cell r="J473" t="str">
            <v>Male</v>
          </cell>
          <cell r="K473" t="str">
            <v>High</v>
          </cell>
          <cell r="L473" t="str">
            <v>Regular</v>
          </cell>
          <cell r="M473">
            <v>45096</v>
          </cell>
          <cell r="N473">
            <v>9</v>
          </cell>
          <cell r="O473">
            <v>9</v>
          </cell>
          <cell r="P473">
            <v>59.185496479999998</v>
          </cell>
          <cell r="Q473">
            <v>532.66946840000003</v>
          </cell>
          <cell r="R473" t="str">
            <v>Clothing</v>
          </cell>
          <cell r="S473" t="str">
            <v>Clothing</v>
          </cell>
          <cell r="T473" t="str">
            <v>T-shirt</v>
          </cell>
          <cell r="U473" t="str">
            <v>Clothing</v>
          </cell>
          <cell r="V473" t="str">
            <v>Excellent</v>
          </cell>
          <cell r="W473" t="str">
            <v>Excellent</v>
          </cell>
          <cell r="X473" t="str">
            <v>Same-Day</v>
          </cell>
          <cell r="Y473">
            <v>5</v>
          </cell>
          <cell r="Z473">
            <v>5</v>
          </cell>
        </row>
        <row r="474">
          <cell r="A474">
            <v>9470637</v>
          </cell>
          <cell r="B474">
            <v>47082</v>
          </cell>
          <cell r="C474" t="str">
            <v>Ricky Bates</v>
          </cell>
          <cell r="D474" t="str">
            <v>Portsmouth</v>
          </cell>
          <cell r="E474" t="str">
            <v>England</v>
          </cell>
          <cell r="F474" t="str">
            <v>UK</v>
          </cell>
          <cell r="G474">
            <v>54</v>
          </cell>
          <cell r="H474">
            <v>54</v>
          </cell>
          <cell r="I474" t="str">
            <v>Female</v>
          </cell>
          <cell r="J474" t="str">
            <v>Female</v>
          </cell>
          <cell r="K474" t="str">
            <v>Low</v>
          </cell>
          <cell r="L474" t="str">
            <v>Regular</v>
          </cell>
          <cell r="M474">
            <v>45177</v>
          </cell>
          <cell r="N474">
            <v>7</v>
          </cell>
          <cell r="O474">
            <v>7</v>
          </cell>
          <cell r="P474">
            <v>171.51767770000001</v>
          </cell>
          <cell r="Q474">
            <v>1200.623744</v>
          </cell>
          <cell r="R474" t="str">
            <v>Electronics</v>
          </cell>
          <cell r="S474" t="str">
            <v>Electronics</v>
          </cell>
          <cell r="T474" t="str">
            <v>Smartphone</v>
          </cell>
          <cell r="U474" t="str">
            <v>Electronics</v>
          </cell>
          <cell r="V474" t="str">
            <v>Average</v>
          </cell>
          <cell r="W474" t="str">
            <v>Average</v>
          </cell>
          <cell r="X474" t="str">
            <v>Express</v>
          </cell>
          <cell r="Y474">
            <v>2</v>
          </cell>
          <cell r="Z474">
            <v>2</v>
          </cell>
        </row>
        <row r="475">
          <cell r="A475">
            <v>6025565</v>
          </cell>
          <cell r="B475">
            <v>28353</v>
          </cell>
          <cell r="C475" t="str">
            <v>Dalton Johnson</v>
          </cell>
          <cell r="D475" t="str">
            <v>Portsmouth</v>
          </cell>
          <cell r="E475" t="str">
            <v>England</v>
          </cell>
          <cell r="F475" t="str">
            <v>UK</v>
          </cell>
          <cell r="G475">
            <v>47</v>
          </cell>
          <cell r="H475">
            <v>47</v>
          </cell>
          <cell r="I475" t="str">
            <v>Female</v>
          </cell>
          <cell r="J475" t="str">
            <v>Female</v>
          </cell>
          <cell r="K475" t="str">
            <v>Low</v>
          </cell>
          <cell r="L475" t="str">
            <v>Regular</v>
          </cell>
          <cell r="M475">
            <v>45142</v>
          </cell>
          <cell r="N475">
            <v>5</v>
          </cell>
          <cell r="O475">
            <v>5</v>
          </cell>
          <cell r="P475">
            <v>432.78808190000001</v>
          </cell>
          <cell r="Q475">
            <v>2163.9404100000002</v>
          </cell>
          <cell r="R475" t="str">
            <v>Grocery</v>
          </cell>
          <cell r="S475" t="str">
            <v>Grocery</v>
          </cell>
          <cell r="T475" t="str">
            <v>Juice</v>
          </cell>
          <cell r="U475" t="str">
            <v>Grocery</v>
          </cell>
          <cell r="V475" t="str">
            <v>Good</v>
          </cell>
          <cell r="W475" t="str">
            <v>Good</v>
          </cell>
          <cell r="X475" t="str">
            <v>Standard</v>
          </cell>
          <cell r="Y475">
            <v>4</v>
          </cell>
          <cell r="Z475">
            <v>4</v>
          </cell>
        </row>
        <row r="476">
          <cell r="A476">
            <v>1387434</v>
          </cell>
          <cell r="B476">
            <v>38337</v>
          </cell>
          <cell r="C476" t="str">
            <v>Judy Beasley</v>
          </cell>
          <cell r="D476" t="str">
            <v>Portsmouth</v>
          </cell>
          <cell r="E476" t="str">
            <v>England</v>
          </cell>
          <cell r="F476" t="str">
            <v>UK</v>
          </cell>
          <cell r="G476">
            <v>30</v>
          </cell>
          <cell r="H476">
            <v>30</v>
          </cell>
          <cell r="I476" t="str">
            <v>Female</v>
          </cell>
          <cell r="J476" t="str">
            <v>Female</v>
          </cell>
          <cell r="K476" t="str">
            <v>Low</v>
          </cell>
          <cell r="L476" t="str">
            <v>Regular</v>
          </cell>
          <cell r="M476">
            <v>45055</v>
          </cell>
          <cell r="N476">
            <v>6</v>
          </cell>
          <cell r="O476">
            <v>6</v>
          </cell>
          <cell r="P476">
            <v>472.82172379999997</v>
          </cell>
          <cell r="Q476">
            <v>2836.930343</v>
          </cell>
          <cell r="R476" t="str">
            <v>Grocery</v>
          </cell>
          <cell r="S476" t="str">
            <v>Grocery</v>
          </cell>
          <cell r="T476" t="str">
            <v>Soft Drink</v>
          </cell>
          <cell r="U476" t="str">
            <v>Grocery</v>
          </cell>
          <cell r="V476" t="str">
            <v>Bad</v>
          </cell>
          <cell r="W476" t="str">
            <v>Bad</v>
          </cell>
          <cell r="X476" t="str">
            <v>Standard</v>
          </cell>
          <cell r="Y476">
            <v>1</v>
          </cell>
          <cell r="Z476">
            <v>1</v>
          </cell>
        </row>
        <row r="477">
          <cell r="A477">
            <v>2798736</v>
          </cell>
          <cell r="B477">
            <v>29257</v>
          </cell>
          <cell r="C477" t="str">
            <v>Charlene Chambers</v>
          </cell>
          <cell r="D477" t="str">
            <v>Portsmouth</v>
          </cell>
          <cell r="E477" t="str">
            <v>England</v>
          </cell>
          <cell r="F477" t="str">
            <v>UK</v>
          </cell>
          <cell r="G477">
            <v>65</v>
          </cell>
          <cell r="H477">
            <v>65</v>
          </cell>
          <cell r="I477" t="str">
            <v>Female</v>
          </cell>
          <cell r="J477" t="str">
            <v>Female</v>
          </cell>
          <cell r="K477" t="str">
            <v>Medium</v>
          </cell>
          <cell r="L477" t="str">
            <v>Regular</v>
          </cell>
          <cell r="M477">
            <v>45184</v>
          </cell>
          <cell r="N477">
            <v>8</v>
          </cell>
          <cell r="O477">
            <v>8</v>
          </cell>
          <cell r="P477">
            <v>186.1900665</v>
          </cell>
          <cell r="Q477">
            <v>1489.520532</v>
          </cell>
          <cell r="R477" t="str">
            <v>Grocery</v>
          </cell>
          <cell r="S477" t="str">
            <v>Grocery</v>
          </cell>
          <cell r="T477" t="str">
            <v>Water</v>
          </cell>
          <cell r="U477" t="str">
            <v>Grocery</v>
          </cell>
          <cell r="V477" t="str">
            <v>Average</v>
          </cell>
          <cell r="W477" t="str">
            <v>Average</v>
          </cell>
          <cell r="X477" t="str">
            <v>Standard</v>
          </cell>
          <cell r="Y477">
            <v>2</v>
          </cell>
          <cell r="Z477">
            <v>2</v>
          </cell>
        </row>
        <row r="478">
          <cell r="A478">
            <v>3338656</v>
          </cell>
          <cell r="B478">
            <v>21397</v>
          </cell>
          <cell r="C478" t="str">
            <v>Shelley Tran</v>
          </cell>
          <cell r="D478" t="str">
            <v>Portsmouth</v>
          </cell>
          <cell r="E478" t="str">
            <v>England</v>
          </cell>
          <cell r="F478" t="str">
            <v>UK</v>
          </cell>
          <cell r="G478">
            <v>47</v>
          </cell>
          <cell r="H478">
            <v>47</v>
          </cell>
          <cell r="I478" t="str">
            <v>Female</v>
          </cell>
          <cell r="J478" t="str">
            <v>Female</v>
          </cell>
          <cell r="K478" t="str">
            <v>Medium</v>
          </cell>
          <cell r="L478" t="str">
            <v>Regular</v>
          </cell>
          <cell r="M478">
            <v>45322</v>
          </cell>
          <cell r="N478">
            <v>10</v>
          </cell>
          <cell r="O478">
            <v>10</v>
          </cell>
          <cell r="P478">
            <v>207.9377672</v>
          </cell>
          <cell r="Q478">
            <v>2079.3776720000001</v>
          </cell>
          <cell r="R478" t="str">
            <v>Home Decor</v>
          </cell>
          <cell r="S478" t="str">
            <v>Home Decor</v>
          </cell>
          <cell r="T478" t="str">
            <v>Furniture</v>
          </cell>
          <cell r="U478" t="str">
            <v>Home Decor</v>
          </cell>
          <cell r="V478" t="str">
            <v>Average</v>
          </cell>
          <cell r="W478" t="str">
            <v>Average</v>
          </cell>
          <cell r="X478" t="str">
            <v>Standard</v>
          </cell>
          <cell r="Y478">
            <v>2</v>
          </cell>
          <cell r="Z478">
            <v>2</v>
          </cell>
        </row>
        <row r="479">
          <cell r="A479">
            <v>9315490</v>
          </cell>
          <cell r="B479">
            <v>51531</v>
          </cell>
          <cell r="C479" t="str">
            <v>Kayla Harris</v>
          </cell>
          <cell r="D479" t="str">
            <v>Portsmouth</v>
          </cell>
          <cell r="E479" t="str">
            <v>England</v>
          </cell>
          <cell r="F479" t="str">
            <v>UK</v>
          </cell>
          <cell r="G479">
            <v>61</v>
          </cell>
          <cell r="H479">
            <v>61</v>
          </cell>
          <cell r="I479" t="str">
            <v>Male</v>
          </cell>
          <cell r="J479" t="str">
            <v>Male</v>
          </cell>
          <cell r="K479" t="str">
            <v>High</v>
          </cell>
          <cell r="L479" t="str">
            <v>Regular</v>
          </cell>
          <cell r="M479">
            <v>45123</v>
          </cell>
          <cell r="N479">
            <v>6</v>
          </cell>
          <cell r="O479">
            <v>6</v>
          </cell>
          <cell r="P479">
            <v>94.218669950000006</v>
          </cell>
          <cell r="Q479">
            <v>565.31201969999995</v>
          </cell>
          <cell r="R479" t="str">
            <v>Electronics</v>
          </cell>
          <cell r="S479" t="str">
            <v>Electronics</v>
          </cell>
          <cell r="T479" t="str">
            <v>Laptop</v>
          </cell>
          <cell r="U479" t="str">
            <v>Electronics</v>
          </cell>
          <cell r="V479" t="str">
            <v>Good</v>
          </cell>
          <cell r="W479" t="str">
            <v>Good</v>
          </cell>
          <cell r="X479" t="str">
            <v>Express</v>
          </cell>
          <cell r="Y479">
            <v>4</v>
          </cell>
          <cell r="Z479">
            <v>4</v>
          </cell>
        </row>
        <row r="480">
          <cell r="A480">
            <v>9702392</v>
          </cell>
          <cell r="B480">
            <v>75848</v>
          </cell>
          <cell r="C480" t="str">
            <v>Steven Weiss</v>
          </cell>
          <cell r="D480" t="str">
            <v>Portsmouth</v>
          </cell>
          <cell r="E480" t="str">
            <v>England</v>
          </cell>
          <cell r="F480" t="str">
            <v>UK</v>
          </cell>
          <cell r="G480">
            <v>52</v>
          </cell>
          <cell r="H480">
            <v>52</v>
          </cell>
          <cell r="I480" t="str">
            <v>Female</v>
          </cell>
          <cell r="J480" t="str">
            <v>Female</v>
          </cell>
          <cell r="K480" t="str">
            <v>Medium</v>
          </cell>
          <cell r="L480" t="str">
            <v>Regular</v>
          </cell>
          <cell r="M480">
            <v>45332</v>
          </cell>
          <cell r="N480">
            <v>9</v>
          </cell>
          <cell r="O480">
            <v>9</v>
          </cell>
          <cell r="P480">
            <v>438.11646539999998</v>
          </cell>
          <cell r="Q480">
            <v>3943.0481890000001</v>
          </cell>
          <cell r="R480" t="str">
            <v>Books</v>
          </cell>
          <cell r="S480" t="str">
            <v>Books</v>
          </cell>
          <cell r="T480" t="str">
            <v>Thriller</v>
          </cell>
          <cell r="U480" t="str">
            <v>Books</v>
          </cell>
          <cell r="V480" t="str">
            <v>Excellent</v>
          </cell>
          <cell r="W480" t="str">
            <v>Excellent</v>
          </cell>
          <cell r="X480" t="str">
            <v>Same-Day</v>
          </cell>
          <cell r="Y480">
            <v>4</v>
          </cell>
          <cell r="Z480">
            <v>4</v>
          </cell>
        </row>
        <row r="481">
          <cell r="A481">
            <v>6236187</v>
          </cell>
          <cell r="B481">
            <v>82677</v>
          </cell>
          <cell r="C481" t="str">
            <v>Marissa Barnett</v>
          </cell>
          <cell r="D481" t="str">
            <v>Portsmouth</v>
          </cell>
          <cell r="E481" t="str">
            <v>England</v>
          </cell>
          <cell r="F481" t="str">
            <v>UK</v>
          </cell>
          <cell r="G481">
            <v>44</v>
          </cell>
          <cell r="H481">
            <v>44</v>
          </cell>
          <cell r="I481" t="str">
            <v>Male</v>
          </cell>
          <cell r="J481" t="str">
            <v>Male</v>
          </cell>
          <cell r="K481" t="str">
            <v>High</v>
          </cell>
          <cell r="L481" t="str">
            <v>Regular</v>
          </cell>
          <cell r="M481">
            <v>45008</v>
          </cell>
          <cell r="N481">
            <v>5</v>
          </cell>
          <cell r="O481">
            <v>5</v>
          </cell>
          <cell r="P481">
            <v>377.35926899999998</v>
          </cell>
          <cell r="Q481">
            <v>1886.796345</v>
          </cell>
          <cell r="R481" t="str">
            <v>Books</v>
          </cell>
          <cell r="S481" t="str">
            <v>Books</v>
          </cell>
          <cell r="T481" t="str">
            <v>Thriller</v>
          </cell>
          <cell r="U481" t="str">
            <v>Books</v>
          </cell>
          <cell r="V481" t="str">
            <v>Average</v>
          </cell>
          <cell r="W481" t="str">
            <v>Average</v>
          </cell>
          <cell r="X481" t="str">
            <v>Express</v>
          </cell>
          <cell r="Y481">
            <v>2</v>
          </cell>
          <cell r="Z481">
            <v>2</v>
          </cell>
        </row>
        <row r="482">
          <cell r="A482">
            <v>7243960</v>
          </cell>
          <cell r="B482">
            <v>66020</v>
          </cell>
          <cell r="C482" t="str">
            <v>Austin Mills</v>
          </cell>
          <cell r="D482" t="str">
            <v>Portsmouth</v>
          </cell>
          <cell r="E482" t="str">
            <v>England</v>
          </cell>
          <cell r="F482" t="str">
            <v>UK</v>
          </cell>
          <cell r="G482">
            <v>23</v>
          </cell>
          <cell r="H482">
            <v>23</v>
          </cell>
          <cell r="I482" t="str">
            <v>Female</v>
          </cell>
          <cell r="J482" t="str">
            <v>Female</v>
          </cell>
          <cell r="K482" t="str">
            <v>Medium</v>
          </cell>
          <cell r="L482" t="str">
            <v>Regular</v>
          </cell>
          <cell r="M482">
            <v>45130</v>
          </cell>
          <cell r="N482">
            <v>3</v>
          </cell>
          <cell r="O482">
            <v>3</v>
          </cell>
          <cell r="P482">
            <v>229.32270130000001</v>
          </cell>
          <cell r="Q482">
            <v>687.96810379999999</v>
          </cell>
          <cell r="R482" t="str">
            <v>Clothing</v>
          </cell>
          <cell r="S482" t="str">
            <v>Clothing</v>
          </cell>
          <cell r="T482" t="str">
            <v>Shoes</v>
          </cell>
          <cell r="U482" t="str">
            <v>Clothing</v>
          </cell>
          <cell r="V482" t="str">
            <v>Good</v>
          </cell>
          <cell r="W482" t="str">
            <v>Good</v>
          </cell>
          <cell r="X482" t="str">
            <v>Same-Day</v>
          </cell>
          <cell r="Y482">
            <v>4</v>
          </cell>
          <cell r="Z482">
            <v>4</v>
          </cell>
        </row>
        <row r="483">
          <cell r="A483">
            <v>6649934</v>
          </cell>
          <cell r="B483">
            <v>14855</v>
          </cell>
          <cell r="C483" t="str">
            <v>Kimberly Holloway</v>
          </cell>
          <cell r="D483" t="str">
            <v>Portsmouth</v>
          </cell>
          <cell r="E483" t="str">
            <v>England</v>
          </cell>
          <cell r="F483" t="str">
            <v>UK</v>
          </cell>
          <cell r="G483">
            <v>43</v>
          </cell>
          <cell r="H483">
            <v>43</v>
          </cell>
          <cell r="I483" t="str">
            <v>Female</v>
          </cell>
          <cell r="J483" t="str">
            <v>Female</v>
          </cell>
          <cell r="K483" t="str">
            <v>Medium</v>
          </cell>
          <cell r="L483" t="str">
            <v>Regular</v>
          </cell>
          <cell r="M483">
            <v>45209</v>
          </cell>
          <cell r="N483">
            <v>2</v>
          </cell>
          <cell r="O483">
            <v>2</v>
          </cell>
          <cell r="P483">
            <v>194.66854079999999</v>
          </cell>
          <cell r="Q483">
            <v>389.33708159999998</v>
          </cell>
          <cell r="R483" t="str">
            <v>Grocery</v>
          </cell>
          <cell r="S483" t="str">
            <v>Grocery</v>
          </cell>
          <cell r="T483" t="str">
            <v>Chocolate</v>
          </cell>
          <cell r="U483" t="str">
            <v>Grocery</v>
          </cell>
          <cell r="V483" t="str">
            <v>Average</v>
          </cell>
          <cell r="W483" t="str">
            <v>Average</v>
          </cell>
          <cell r="X483" t="str">
            <v>Standard</v>
          </cell>
          <cell r="Y483">
            <v>2</v>
          </cell>
          <cell r="Z483">
            <v>2</v>
          </cell>
        </row>
        <row r="484">
          <cell r="A484">
            <v>4893754</v>
          </cell>
          <cell r="B484">
            <v>99058</v>
          </cell>
          <cell r="C484" t="str">
            <v>Jason Gentry</v>
          </cell>
          <cell r="D484" t="str">
            <v>Portsmouth</v>
          </cell>
          <cell r="E484" t="str">
            <v>England</v>
          </cell>
          <cell r="F484" t="str">
            <v>UK</v>
          </cell>
          <cell r="G484">
            <v>65</v>
          </cell>
          <cell r="H484">
            <v>65</v>
          </cell>
          <cell r="I484" t="str">
            <v>Female</v>
          </cell>
          <cell r="J484" t="str">
            <v>Female</v>
          </cell>
          <cell r="K484" t="str">
            <v>Low</v>
          </cell>
          <cell r="L484" t="str">
            <v>Regular</v>
          </cell>
          <cell r="M484">
            <v>44992</v>
          </cell>
          <cell r="N484">
            <v>6</v>
          </cell>
          <cell r="O484">
            <v>6</v>
          </cell>
          <cell r="P484">
            <v>231.5138445</v>
          </cell>
          <cell r="Q484">
            <v>1389.083067</v>
          </cell>
          <cell r="R484" t="str">
            <v>Home Decor</v>
          </cell>
          <cell r="S484" t="str">
            <v>Home Decor</v>
          </cell>
          <cell r="T484" t="str">
            <v>Kitchen</v>
          </cell>
          <cell r="U484" t="str">
            <v>Home Decor</v>
          </cell>
          <cell r="V484" t="str">
            <v>Excellent</v>
          </cell>
          <cell r="W484" t="str">
            <v>Excellent</v>
          </cell>
          <cell r="X484" t="str">
            <v>Express</v>
          </cell>
          <cell r="Y484">
            <v>5</v>
          </cell>
          <cell r="Z484">
            <v>5</v>
          </cell>
        </row>
        <row r="485">
          <cell r="A485">
            <v>9661702</v>
          </cell>
          <cell r="B485">
            <v>11381</v>
          </cell>
          <cell r="C485" t="str">
            <v>Jillian Perez</v>
          </cell>
          <cell r="D485" t="str">
            <v>Portsmouth</v>
          </cell>
          <cell r="E485" t="str">
            <v>England</v>
          </cell>
          <cell r="F485" t="str">
            <v>UK</v>
          </cell>
          <cell r="G485">
            <v>40</v>
          </cell>
          <cell r="H485">
            <v>40</v>
          </cell>
          <cell r="I485" t="str">
            <v>Male</v>
          </cell>
          <cell r="J485" t="str">
            <v>Male</v>
          </cell>
          <cell r="K485" t="str">
            <v>Medium</v>
          </cell>
          <cell r="L485" t="str">
            <v>Regular</v>
          </cell>
          <cell r="M485">
            <v>45079</v>
          </cell>
          <cell r="N485">
            <v>2</v>
          </cell>
          <cell r="O485">
            <v>2</v>
          </cell>
          <cell r="P485">
            <v>127.155022</v>
          </cell>
          <cell r="Q485">
            <v>254.3100441</v>
          </cell>
          <cell r="R485" t="str">
            <v>Electronics</v>
          </cell>
          <cell r="S485" t="str">
            <v>Electronics</v>
          </cell>
          <cell r="T485" t="str">
            <v>Smartphone</v>
          </cell>
          <cell r="U485" t="str">
            <v>Electronics</v>
          </cell>
          <cell r="V485" t="str">
            <v>Bad</v>
          </cell>
          <cell r="W485" t="str">
            <v>Bad</v>
          </cell>
          <cell r="X485" t="str">
            <v>Same-Day</v>
          </cell>
          <cell r="Y485">
            <v>1</v>
          </cell>
          <cell r="Z485">
            <v>1</v>
          </cell>
        </row>
        <row r="486">
          <cell r="A486">
            <v>9627400</v>
          </cell>
          <cell r="B486">
            <v>97549</v>
          </cell>
          <cell r="C486" t="str">
            <v>Brady Stanley</v>
          </cell>
          <cell r="D486" t="str">
            <v>Portsmouth</v>
          </cell>
          <cell r="E486" t="str">
            <v>England</v>
          </cell>
          <cell r="F486" t="str">
            <v>UK</v>
          </cell>
          <cell r="G486">
            <v>46</v>
          </cell>
          <cell r="H486">
            <v>46</v>
          </cell>
          <cell r="I486" t="str">
            <v>Male</v>
          </cell>
          <cell r="J486" t="str">
            <v>Male</v>
          </cell>
          <cell r="K486" t="str">
            <v>Medium</v>
          </cell>
          <cell r="L486" t="str">
            <v>Regular</v>
          </cell>
          <cell r="M486">
            <v>45256</v>
          </cell>
          <cell r="N486">
            <v>10</v>
          </cell>
          <cell r="O486">
            <v>10</v>
          </cell>
          <cell r="P486">
            <v>475.53466079999998</v>
          </cell>
          <cell r="Q486">
            <v>4755.3466079999998</v>
          </cell>
          <cell r="R486" t="str">
            <v>Books</v>
          </cell>
          <cell r="S486" t="str">
            <v>Books</v>
          </cell>
          <cell r="T486" t="str">
            <v>Non-Fiction</v>
          </cell>
          <cell r="U486" t="str">
            <v>Books</v>
          </cell>
          <cell r="V486" t="str">
            <v>Bad</v>
          </cell>
          <cell r="W486" t="str">
            <v>Bad</v>
          </cell>
          <cell r="X486" t="str">
            <v>Same-Day</v>
          </cell>
          <cell r="Y486">
            <v>1</v>
          </cell>
          <cell r="Z486">
            <v>1</v>
          </cell>
        </row>
        <row r="487">
          <cell r="A487">
            <v>9736484</v>
          </cell>
          <cell r="B487">
            <v>32669</v>
          </cell>
          <cell r="C487" t="str">
            <v>Gloria Luna</v>
          </cell>
          <cell r="D487" t="str">
            <v>Portsmouth</v>
          </cell>
          <cell r="E487" t="str">
            <v>England</v>
          </cell>
          <cell r="F487" t="str">
            <v>UK</v>
          </cell>
          <cell r="G487">
            <v>64</v>
          </cell>
          <cell r="H487">
            <v>64</v>
          </cell>
          <cell r="I487" t="str">
            <v>Male</v>
          </cell>
          <cell r="J487" t="str">
            <v>Male</v>
          </cell>
          <cell r="K487" t="str">
            <v>Low</v>
          </cell>
          <cell r="L487" t="str">
            <v>Regular</v>
          </cell>
          <cell r="M487">
            <v>45178</v>
          </cell>
          <cell r="N487">
            <v>7</v>
          </cell>
          <cell r="O487">
            <v>7</v>
          </cell>
          <cell r="P487">
            <v>147.4081401</v>
          </cell>
          <cell r="Q487">
            <v>1031.8569809999999</v>
          </cell>
          <cell r="R487" t="str">
            <v>Clothing</v>
          </cell>
          <cell r="S487" t="str">
            <v>Clothing</v>
          </cell>
          <cell r="T487" t="str">
            <v>Shoes</v>
          </cell>
          <cell r="U487" t="str">
            <v>Clothing</v>
          </cell>
          <cell r="V487" t="str">
            <v>Bad</v>
          </cell>
          <cell r="W487" t="str">
            <v>Bad</v>
          </cell>
          <cell r="X487" t="str">
            <v>Express</v>
          </cell>
          <cell r="Y487">
            <v>1</v>
          </cell>
          <cell r="Z487">
            <v>1</v>
          </cell>
        </row>
        <row r="488">
          <cell r="A488">
            <v>9094852</v>
          </cell>
          <cell r="B488">
            <v>61308</v>
          </cell>
          <cell r="C488" t="str">
            <v>James Davis</v>
          </cell>
          <cell r="D488" t="str">
            <v>Portsmouth</v>
          </cell>
          <cell r="E488" t="str">
            <v>England</v>
          </cell>
          <cell r="F488" t="str">
            <v>UK</v>
          </cell>
          <cell r="G488">
            <v>63</v>
          </cell>
          <cell r="H488">
            <v>63</v>
          </cell>
          <cell r="I488" t="str">
            <v>Female</v>
          </cell>
          <cell r="J488" t="str">
            <v>Female</v>
          </cell>
          <cell r="K488" t="str">
            <v>Medium</v>
          </cell>
          <cell r="L488" t="str">
            <v>Regular</v>
          </cell>
          <cell r="M488">
            <v>45226</v>
          </cell>
          <cell r="N488">
            <v>5</v>
          </cell>
          <cell r="O488">
            <v>5</v>
          </cell>
          <cell r="P488">
            <v>498.01702340000003</v>
          </cell>
          <cell r="Q488">
            <v>2490.0851170000001</v>
          </cell>
          <cell r="R488" t="str">
            <v>Clothing</v>
          </cell>
          <cell r="S488" t="str">
            <v>Clothing</v>
          </cell>
          <cell r="T488" t="str">
            <v>T-shirt</v>
          </cell>
          <cell r="U488" t="str">
            <v>Clothing</v>
          </cell>
          <cell r="V488" t="str">
            <v>Bad</v>
          </cell>
          <cell r="W488" t="str">
            <v>Bad</v>
          </cell>
          <cell r="X488" t="str">
            <v>Express</v>
          </cell>
          <cell r="Y488">
            <v>1</v>
          </cell>
          <cell r="Z488">
            <v>1</v>
          </cell>
        </row>
        <row r="489">
          <cell r="A489">
            <v>8171449</v>
          </cell>
          <cell r="B489">
            <v>14663</v>
          </cell>
          <cell r="C489" t="str">
            <v>Ryan Paul</v>
          </cell>
          <cell r="D489" t="str">
            <v>Portsmouth</v>
          </cell>
          <cell r="E489" t="str">
            <v>England</v>
          </cell>
          <cell r="F489" t="str">
            <v>UK</v>
          </cell>
          <cell r="G489">
            <v>53</v>
          </cell>
          <cell r="H489">
            <v>53</v>
          </cell>
          <cell r="I489" t="str">
            <v>Male</v>
          </cell>
          <cell r="J489" t="str">
            <v>Male</v>
          </cell>
          <cell r="K489" t="str">
            <v>High</v>
          </cell>
          <cell r="L489" t="str">
            <v>Regular</v>
          </cell>
          <cell r="M489">
            <v>45173</v>
          </cell>
          <cell r="N489">
            <v>3</v>
          </cell>
          <cell r="O489">
            <v>3</v>
          </cell>
          <cell r="P489">
            <v>479.11986630000001</v>
          </cell>
          <cell r="Q489">
            <v>1437.3595989999999</v>
          </cell>
          <cell r="R489" t="str">
            <v>Electronics</v>
          </cell>
          <cell r="S489" t="str">
            <v>Electronics</v>
          </cell>
          <cell r="T489" t="str">
            <v>Smartphone</v>
          </cell>
          <cell r="U489" t="str">
            <v>Electronics</v>
          </cell>
          <cell r="V489" t="str">
            <v>Bad</v>
          </cell>
          <cell r="W489" t="str">
            <v>Bad</v>
          </cell>
          <cell r="X489" t="str">
            <v>Standard</v>
          </cell>
          <cell r="Y489">
            <v>1</v>
          </cell>
          <cell r="Z489">
            <v>1</v>
          </cell>
        </row>
        <row r="490">
          <cell r="A490">
            <v>4365027</v>
          </cell>
          <cell r="B490">
            <v>97143</v>
          </cell>
          <cell r="C490" t="str">
            <v>Michael Marshall</v>
          </cell>
          <cell r="D490" t="str">
            <v>Portsmouth</v>
          </cell>
          <cell r="E490" t="str">
            <v>England</v>
          </cell>
          <cell r="F490" t="str">
            <v>UK</v>
          </cell>
          <cell r="G490">
            <v>23</v>
          </cell>
          <cell r="H490">
            <v>23</v>
          </cell>
          <cell r="I490" t="str">
            <v>Male</v>
          </cell>
          <cell r="J490" t="str">
            <v>Male</v>
          </cell>
          <cell r="K490" t="str">
            <v>High</v>
          </cell>
          <cell r="L490" t="str">
            <v>Regular</v>
          </cell>
          <cell r="M490">
            <v>45283</v>
          </cell>
          <cell r="N490">
            <v>9</v>
          </cell>
          <cell r="O490">
            <v>9</v>
          </cell>
          <cell r="P490">
            <v>285.16873509999999</v>
          </cell>
          <cell r="Q490">
            <v>2566.5186159999998</v>
          </cell>
          <cell r="R490" t="str">
            <v>Clothing</v>
          </cell>
          <cell r="S490" t="str">
            <v>Clothing</v>
          </cell>
          <cell r="T490" t="str">
            <v>Shirt</v>
          </cell>
          <cell r="U490" t="str">
            <v>Clothing</v>
          </cell>
          <cell r="V490" t="str">
            <v>Average</v>
          </cell>
          <cell r="W490" t="str">
            <v>Average</v>
          </cell>
          <cell r="X490" t="str">
            <v>Express</v>
          </cell>
          <cell r="Y490">
            <v>2</v>
          </cell>
          <cell r="Z490">
            <v>2</v>
          </cell>
        </row>
        <row r="491">
          <cell r="A491">
            <v>7647671</v>
          </cell>
          <cell r="B491">
            <v>93553</v>
          </cell>
          <cell r="C491" t="str">
            <v>Nathaniel Kim</v>
          </cell>
          <cell r="D491" t="str">
            <v>Portsmouth</v>
          </cell>
          <cell r="E491" t="str">
            <v>England</v>
          </cell>
          <cell r="F491" t="str">
            <v>UK</v>
          </cell>
          <cell r="G491">
            <v>25</v>
          </cell>
          <cell r="H491">
            <v>25</v>
          </cell>
          <cell r="I491" t="str">
            <v>Male</v>
          </cell>
          <cell r="J491" t="str">
            <v>Male</v>
          </cell>
          <cell r="K491" t="str">
            <v>High</v>
          </cell>
          <cell r="L491" t="str">
            <v>Regular</v>
          </cell>
          <cell r="M491">
            <v>45097</v>
          </cell>
          <cell r="N491">
            <v>5</v>
          </cell>
          <cell r="O491">
            <v>5</v>
          </cell>
          <cell r="P491">
            <v>125.0114069</v>
          </cell>
          <cell r="Q491">
            <v>625.05703449999999</v>
          </cell>
          <cell r="R491" t="str">
            <v>Clothing</v>
          </cell>
          <cell r="S491" t="str">
            <v>Clothing</v>
          </cell>
          <cell r="T491" t="str">
            <v>Jacket</v>
          </cell>
          <cell r="U491" t="str">
            <v>Clothing</v>
          </cell>
          <cell r="V491" t="str">
            <v>Bad</v>
          </cell>
          <cell r="W491" t="str">
            <v>Bad</v>
          </cell>
          <cell r="X491" t="str">
            <v>Standard</v>
          </cell>
          <cell r="Y491">
            <v>1</v>
          </cell>
          <cell r="Z491">
            <v>1</v>
          </cell>
        </row>
        <row r="492">
          <cell r="A492">
            <v>1886519</v>
          </cell>
          <cell r="B492">
            <v>36836</v>
          </cell>
          <cell r="C492" t="str">
            <v>Cody Anderson</v>
          </cell>
          <cell r="D492" t="str">
            <v>Portsmouth</v>
          </cell>
          <cell r="E492" t="str">
            <v>England</v>
          </cell>
          <cell r="F492" t="str">
            <v>UK</v>
          </cell>
          <cell r="G492">
            <v>31</v>
          </cell>
          <cell r="H492">
            <v>31</v>
          </cell>
          <cell r="I492" t="str">
            <v>Female</v>
          </cell>
          <cell r="J492" t="str">
            <v>Female</v>
          </cell>
          <cell r="K492" t="str">
            <v>High</v>
          </cell>
          <cell r="L492" t="str">
            <v>Regular</v>
          </cell>
          <cell r="M492">
            <v>45070</v>
          </cell>
          <cell r="N492">
            <v>3</v>
          </cell>
          <cell r="O492">
            <v>3</v>
          </cell>
          <cell r="P492">
            <v>340.74184279999997</v>
          </cell>
          <cell r="Q492">
            <v>1022.2255280000001</v>
          </cell>
          <cell r="R492" t="str">
            <v>Grocery</v>
          </cell>
          <cell r="S492" t="str">
            <v>Grocery</v>
          </cell>
          <cell r="T492" t="str">
            <v>Juice</v>
          </cell>
          <cell r="U492" t="str">
            <v>Grocery</v>
          </cell>
          <cell r="V492" t="str">
            <v>Good</v>
          </cell>
          <cell r="W492" t="str">
            <v>Good</v>
          </cell>
          <cell r="X492" t="str">
            <v>Same-Day</v>
          </cell>
          <cell r="Y492">
            <v>4</v>
          </cell>
          <cell r="Z492">
            <v>4</v>
          </cell>
        </row>
        <row r="493">
          <cell r="A493">
            <v>3690467</v>
          </cell>
          <cell r="B493">
            <v>62308</v>
          </cell>
          <cell r="C493" t="str">
            <v>Jillian Harrison</v>
          </cell>
          <cell r="D493" t="str">
            <v>Portsmouth</v>
          </cell>
          <cell r="E493" t="str">
            <v>England</v>
          </cell>
          <cell r="F493" t="str">
            <v>UK</v>
          </cell>
          <cell r="G493">
            <v>18</v>
          </cell>
          <cell r="H493">
            <v>18</v>
          </cell>
          <cell r="I493" t="str">
            <v>Female</v>
          </cell>
          <cell r="J493" t="str">
            <v>Female</v>
          </cell>
          <cell r="K493" t="str">
            <v>High</v>
          </cell>
          <cell r="L493" t="str">
            <v>Regular</v>
          </cell>
          <cell r="M493">
            <v>45157</v>
          </cell>
          <cell r="N493">
            <v>3</v>
          </cell>
          <cell r="O493">
            <v>3</v>
          </cell>
          <cell r="P493">
            <v>464.45567790000001</v>
          </cell>
          <cell r="Q493">
            <v>1393.3670340000001</v>
          </cell>
          <cell r="R493" t="str">
            <v>Clothing</v>
          </cell>
          <cell r="S493" t="str">
            <v>Clothing</v>
          </cell>
          <cell r="T493" t="str">
            <v>Dress</v>
          </cell>
          <cell r="U493" t="str">
            <v>Clothing</v>
          </cell>
          <cell r="V493" t="str">
            <v>Bad</v>
          </cell>
          <cell r="W493" t="str">
            <v>Bad</v>
          </cell>
          <cell r="X493" t="str">
            <v>Same-Day</v>
          </cell>
          <cell r="Y493">
            <v>1</v>
          </cell>
          <cell r="Z493">
            <v>1</v>
          </cell>
        </row>
        <row r="494">
          <cell r="A494">
            <v>6583026</v>
          </cell>
          <cell r="B494">
            <v>41424</v>
          </cell>
          <cell r="C494" t="str">
            <v>Elizabeth Oliver</v>
          </cell>
          <cell r="D494" t="str">
            <v>Portsmouth</v>
          </cell>
          <cell r="E494" t="str">
            <v>England</v>
          </cell>
          <cell r="F494" t="str">
            <v>UK</v>
          </cell>
          <cell r="G494">
            <v>66</v>
          </cell>
          <cell r="H494">
            <v>66</v>
          </cell>
          <cell r="I494" t="str">
            <v>Male</v>
          </cell>
          <cell r="J494" t="str">
            <v>Male</v>
          </cell>
          <cell r="K494" t="str">
            <v>High</v>
          </cell>
          <cell r="L494" t="str">
            <v>Regular</v>
          </cell>
          <cell r="M494">
            <v>45066</v>
          </cell>
          <cell r="N494">
            <v>9</v>
          </cell>
          <cell r="O494">
            <v>9</v>
          </cell>
          <cell r="P494">
            <v>67.056259330000003</v>
          </cell>
          <cell r="Q494">
            <v>603.50633389999996</v>
          </cell>
          <cell r="R494" t="str">
            <v>Electronics</v>
          </cell>
          <cell r="S494" t="str">
            <v>Electronics</v>
          </cell>
          <cell r="T494" t="str">
            <v>Tablet</v>
          </cell>
          <cell r="U494" t="str">
            <v>Electronics</v>
          </cell>
          <cell r="V494" t="str">
            <v>Good</v>
          </cell>
          <cell r="W494" t="str">
            <v>Good</v>
          </cell>
          <cell r="X494" t="str">
            <v>Same-Day</v>
          </cell>
          <cell r="Y494">
            <v>3</v>
          </cell>
          <cell r="Z494">
            <v>3</v>
          </cell>
        </row>
        <row r="495">
          <cell r="A495">
            <v>9517916</v>
          </cell>
          <cell r="B495">
            <v>44149</v>
          </cell>
          <cell r="C495" t="str">
            <v>Craig Cooper</v>
          </cell>
          <cell r="D495" t="str">
            <v>Portsmouth</v>
          </cell>
          <cell r="E495" t="str">
            <v>England</v>
          </cell>
          <cell r="F495" t="str">
            <v>UK</v>
          </cell>
          <cell r="G495">
            <v>29</v>
          </cell>
          <cell r="H495">
            <v>29</v>
          </cell>
          <cell r="I495" t="str">
            <v>Male</v>
          </cell>
          <cell r="J495" t="str">
            <v>Male</v>
          </cell>
          <cell r="K495" t="str">
            <v>High</v>
          </cell>
          <cell r="L495" t="str">
            <v>Regular</v>
          </cell>
          <cell r="M495">
            <v>45111</v>
          </cell>
          <cell r="N495">
            <v>8</v>
          </cell>
          <cell r="O495">
            <v>8</v>
          </cell>
          <cell r="P495">
            <v>434.4834194</v>
          </cell>
          <cell r="Q495">
            <v>3475.8673549999999</v>
          </cell>
          <cell r="R495" t="str">
            <v>Grocery</v>
          </cell>
          <cell r="S495" t="str">
            <v>Grocery</v>
          </cell>
          <cell r="T495" t="str">
            <v>Soft Drink</v>
          </cell>
          <cell r="U495" t="str">
            <v>Grocery</v>
          </cell>
          <cell r="V495" t="str">
            <v>Average</v>
          </cell>
          <cell r="W495" t="str">
            <v>Average</v>
          </cell>
          <cell r="X495" t="str">
            <v>Same-Day</v>
          </cell>
          <cell r="Y495">
            <v>2</v>
          </cell>
          <cell r="Z495">
            <v>2</v>
          </cell>
        </row>
        <row r="496">
          <cell r="A496">
            <v>4066984</v>
          </cell>
          <cell r="B496">
            <v>61816</v>
          </cell>
          <cell r="C496" t="str">
            <v>Patrick Long</v>
          </cell>
          <cell r="D496" t="str">
            <v>Portsmouth</v>
          </cell>
          <cell r="E496" t="str">
            <v>England</v>
          </cell>
          <cell r="F496" t="str">
            <v>UK</v>
          </cell>
          <cell r="G496">
            <v>59</v>
          </cell>
          <cell r="H496">
            <v>59</v>
          </cell>
          <cell r="I496" t="str">
            <v>Male</v>
          </cell>
          <cell r="J496" t="str">
            <v>Male</v>
          </cell>
          <cell r="K496" t="str">
            <v>High</v>
          </cell>
          <cell r="L496" t="str">
            <v>Regular</v>
          </cell>
          <cell r="M496">
            <v>45052</v>
          </cell>
          <cell r="N496">
            <v>10</v>
          </cell>
          <cell r="O496">
            <v>10</v>
          </cell>
          <cell r="P496">
            <v>466.72160350000001</v>
          </cell>
          <cell r="Q496">
            <v>4667.2160350000004</v>
          </cell>
          <cell r="R496" t="str">
            <v>Books</v>
          </cell>
          <cell r="S496" t="str">
            <v>Books</v>
          </cell>
          <cell r="T496" t="str">
            <v>Fiction</v>
          </cell>
          <cell r="U496" t="str">
            <v>Books</v>
          </cell>
          <cell r="V496" t="str">
            <v>Excellent</v>
          </cell>
          <cell r="W496" t="str">
            <v>Excellent</v>
          </cell>
          <cell r="X496" t="str">
            <v>Express</v>
          </cell>
          <cell r="Y496">
            <v>4</v>
          </cell>
          <cell r="Z496">
            <v>4</v>
          </cell>
        </row>
        <row r="497">
          <cell r="A497">
            <v>4213879</v>
          </cell>
          <cell r="B497">
            <v>30165</v>
          </cell>
          <cell r="C497" t="str">
            <v>Sean Woods</v>
          </cell>
          <cell r="D497" t="str">
            <v>Portsmouth</v>
          </cell>
          <cell r="E497" t="str">
            <v>England</v>
          </cell>
          <cell r="F497" t="str">
            <v>UK</v>
          </cell>
          <cell r="G497">
            <v>34</v>
          </cell>
          <cell r="H497">
            <v>34</v>
          </cell>
          <cell r="I497" t="str">
            <v>Male</v>
          </cell>
          <cell r="J497" t="str">
            <v>Male</v>
          </cell>
          <cell r="K497" t="str">
            <v>High</v>
          </cell>
          <cell r="L497" t="str">
            <v>Regular</v>
          </cell>
          <cell r="M497">
            <v>44990</v>
          </cell>
          <cell r="N497">
            <v>4</v>
          </cell>
          <cell r="O497">
            <v>4</v>
          </cell>
          <cell r="P497">
            <v>381.7902661</v>
          </cell>
          <cell r="Q497">
            <v>1527.1610639999999</v>
          </cell>
          <cell r="R497" t="str">
            <v>Books</v>
          </cell>
          <cell r="S497" t="str">
            <v>Books</v>
          </cell>
          <cell r="T497" t="str">
            <v>Thriller</v>
          </cell>
          <cell r="U497" t="str">
            <v>Books</v>
          </cell>
          <cell r="V497" t="str">
            <v>Excellent</v>
          </cell>
          <cell r="W497" t="str">
            <v>Excellent</v>
          </cell>
          <cell r="X497" t="str">
            <v>Standard</v>
          </cell>
          <cell r="Y497">
            <v>4</v>
          </cell>
          <cell r="Z497">
            <v>4</v>
          </cell>
        </row>
        <row r="498">
          <cell r="A498">
            <v>9260448</v>
          </cell>
          <cell r="B498">
            <v>44339</v>
          </cell>
          <cell r="C498" t="str">
            <v>Elizabeth Craig</v>
          </cell>
          <cell r="D498" t="str">
            <v>Portsmouth</v>
          </cell>
          <cell r="E498" t="str">
            <v>England</v>
          </cell>
          <cell r="F498" t="str">
            <v>UK</v>
          </cell>
          <cell r="G498">
            <v>36</v>
          </cell>
          <cell r="H498">
            <v>36</v>
          </cell>
          <cell r="I498" t="str">
            <v>Male</v>
          </cell>
          <cell r="J498" t="str">
            <v>Male</v>
          </cell>
          <cell r="K498" t="str">
            <v>High</v>
          </cell>
          <cell r="L498" t="str">
            <v>Regular</v>
          </cell>
          <cell r="M498">
            <v>45075</v>
          </cell>
          <cell r="N498">
            <v>5</v>
          </cell>
          <cell r="O498">
            <v>5</v>
          </cell>
          <cell r="P498">
            <v>11.212817039999999</v>
          </cell>
          <cell r="Q498">
            <v>56.064085220000003</v>
          </cell>
          <cell r="R498" t="str">
            <v>Home Decor</v>
          </cell>
          <cell r="S498" t="str">
            <v>Home Decor</v>
          </cell>
          <cell r="T498" t="str">
            <v>Decorations</v>
          </cell>
          <cell r="U498" t="str">
            <v>Home Decor</v>
          </cell>
          <cell r="V498" t="str">
            <v>Good</v>
          </cell>
          <cell r="W498" t="str">
            <v>Good</v>
          </cell>
          <cell r="X498" t="str">
            <v>Express</v>
          </cell>
          <cell r="Y498">
            <v>4</v>
          </cell>
          <cell r="Z498">
            <v>4</v>
          </cell>
        </row>
        <row r="499">
          <cell r="A499">
            <v>8930244</v>
          </cell>
          <cell r="B499">
            <v>95441</v>
          </cell>
          <cell r="C499" t="str">
            <v>Mr. Mark Thornton</v>
          </cell>
          <cell r="D499" t="str">
            <v>Portsmouth</v>
          </cell>
          <cell r="E499" t="str">
            <v>England</v>
          </cell>
          <cell r="F499" t="str">
            <v>UK</v>
          </cell>
          <cell r="G499">
            <v>50</v>
          </cell>
          <cell r="H499">
            <v>50</v>
          </cell>
          <cell r="I499" t="str">
            <v>Female</v>
          </cell>
          <cell r="J499" t="str">
            <v>Female</v>
          </cell>
          <cell r="K499" t="str">
            <v>High</v>
          </cell>
          <cell r="L499" t="str">
            <v>Regular</v>
          </cell>
          <cell r="M499">
            <v>45077</v>
          </cell>
          <cell r="N499">
            <v>10</v>
          </cell>
          <cell r="O499">
            <v>10</v>
          </cell>
          <cell r="P499">
            <v>265.1970086</v>
          </cell>
          <cell r="Q499">
            <v>2651.9700859999998</v>
          </cell>
          <cell r="R499" t="str">
            <v>Clothing</v>
          </cell>
          <cell r="S499" t="str">
            <v>Clothing</v>
          </cell>
          <cell r="T499" t="str">
            <v>Shoes</v>
          </cell>
          <cell r="U499" t="str">
            <v>Clothing</v>
          </cell>
          <cell r="V499" t="str">
            <v>Excellent</v>
          </cell>
          <cell r="W499" t="str">
            <v>Excellent</v>
          </cell>
          <cell r="X499" t="str">
            <v>Express</v>
          </cell>
          <cell r="Y499">
            <v>4</v>
          </cell>
          <cell r="Z499">
            <v>4</v>
          </cell>
        </row>
        <row r="500">
          <cell r="A500">
            <v>7169620</v>
          </cell>
          <cell r="B500">
            <v>99652</v>
          </cell>
          <cell r="C500" t="str">
            <v>Jennifer Ferguson</v>
          </cell>
          <cell r="D500" t="str">
            <v>Portsmouth</v>
          </cell>
          <cell r="E500" t="str">
            <v>England</v>
          </cell>
          <cell r="F500" t="str">
            <v>UK</v>
          </cell>
          <cell r="G500">
            <v>29</v>
          </cell>
          <cell r="H500">
            <v>29</v>
          </cell>
          <cell r="I500" t="str">
            <v>Male</v>
          </cell>
          <cell r="J500" t="str">
            <v>Male</v>
          </cell>
          <cell r="K500" t="str">
            <v>High</v>
          </cell>
          <cell r="L500" t="str">
            <v>Regular</v>
          </cell>
          <cell r="M500">
            <v>45260</v>
          </cell>
          <cell r="N500">
            <v>8</v>
          </cell>
          <cell r="O500">
            <v>8</v>
          </cell>
          <cell r="P500">
            <v>311.89415309999998</v>
          </cell>
          <cell r="Q500">
            <v>2495.153225</v>
          </cell>
          <cell r="R500" t="str">
            <v>Electronics</v>
          </cell>
          <cell r="S500" t="str">
            <v>Electronics</v>
          </cell>
          <cell r="T500" t="str">
            <v>Smartphone</v>
          </cell>
          <cell r="U500" t="str">
            <v>Electronics</v>
          </cell>
          <cell r="V500" t="str">
            <v>Bad</v>
          </cell>
          <cell r="W500" t="str">
            <v>Bad</v>
          </cell>
          <cell r="X500" t="str">
            <v>Same-Day</v>
          </cell>
          <cell r="Y500">
            <v>1</v>
          </cell>
          <cell r="Z500">
            <v>1</v>
          </cell>
        </row>
        <row r="501">
          <cell r="A501">
            <v>2306788</v>
          </cell>
          <cell r="B501">
            <v>87457</v>
          </cell>
          <cell r="C501" t="str">
            <v>Michelle Murray</v>
          </cell>
          <cell r="D501" t="str">
            <v>Portsmouth</v>
          </cell>
          <cell r="E501" t="str">
            <v>England</v>
          </cell>
          <cell r="F501" t="str">
            <v>UK</v>
          </cell>
          <cell r="G501">
            <v>22</v>
          </cell>
          <cell r="H501">
            <v>22</v>
          </cell>
          <cell r="I501" t="str">
            <v>Male</v>
          </cell>
          <cell r="J501" t="str">
            <v>Male</v>
          </cell>
          <cell r="K501" t="str">
            <v>High</v>
          </cell>
          <cell r="L501" t="str">
            <v>Regular</v>
          </cell>
          <cell r="M501">
            <v>45012</v>
          </cell>
          <cell r="N501">
            <v>1</v>
          </cell>
          <cell r="O501">
            <v>1</v>
          </cell>
          <cell r="P501">
            <v>132.86981130000001</v>
          </cell>
          <cell r="Q501">
            <v>132.86981130000001</v>
          </cell>
          <cell r="R501" t="str">
            <v>Grocery</v>
          </cell>
          <cell r="S501" t="str">
            <v>Grocery</v>
          </cell>
          <cell r="T501" t="str">
            <v>Water</v>
          </cell>
          <cell r="U501" t="str">
            <v>Grocery</v>
          </cell>
          <cell r="V501" t="str">
            <v>Good</v>
          </cell>
          <cell r="W501" t="str">
            <v>Good</v>
          </cell>
          <cell r="X501" t="str">
            <v>Same-Day</v>
          </cell>
          <cell r="Y501">
            <v>4</v>
          </cell>
          <cell r="Z501">
            <v>4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al" refreshedDate="46232.494523842593" createdVersion="8" refreshedVersion="8" minRefreshableVersion="3" recordCount="500" xr:uid="{E82583EF-AEB9-4746-9AC8-0A6BCC789DC4}">
  <cacheSource type="worksheet">
    <worksheetSource ref="A1:N501" sheet="Retail"/>
  </cacheSource>
  <cacheFields count="14">
    <cacheField name="Transaction_ID" numFmtId="0">
      <sharedItems containsSemiMixedTypes="0" containsString="0" containsNumber="1" containsInteger="1" minValue="1089259" maxValue="9970701"/>
    </cacheField>
    <cacheField name="Customer_ID" numFmtId="0">
      <sharedItems containsSemiMixedTypes="0" containsString="0" containsNumber="1" containsInteger="1" minValue="10010" maxValue="99944"/>
    </cacheField>
    <cacheField name="Name" numFmtId="0">
      <sharedItems/>
    </cacheField>
    <cacheField name="City" numFmtId="0">
      <sharedItems/>
    </cacheField>
    <cacheField name="Age" numFmtId="0">
      <sharedItems containsSemiMixedTypes="0" containsString="0" containsNumber="1" minValue="18" maxValue="70" count="54">
        <n v="51"/>
        <n v="63"/>
        <n v="46"/>
        <n v="59"/>
        <n v="22"/>
        <n v="23"/>
        <n v="38"/>
        <n v="66"/>
        <n v="29"/>
        <n v="30"/>
        <n v="24"/>
        <n v="50"/>
        <n v="25"/>
        <n v="45"/>
        <n v="36"/>
        <n v="28"/>
        <n v="52"/>
        <n v="68"/>
        <n v="67"/>
        <n v="64"/>
        <n v="70"/>
        <n v="60"/>
        <n v="21"/>
        <n v="35"/>
        <n v="49"/>
        <n v="61"/>
        <n v="41"/>
        <n v="26"/>
        <n v="56"/>
        <n v="44"/>
        <n v="31"/>
        <n v="43"/>
        <n v="58"/>
        <n v="53"/>
        <n v="32"/>
        <n v="39"/>
        <n v="57"/>
        <n v="34"/>
        <n v="37"/>
        <n v="33"/>
        <n v="55"/>
        <n v="47"/>
        <n v="48"/>
        <n v="19"/>
        <n v="18"/>
        <n v="54"/>
        <n v="62"/>
        <n v="40"/>
        <n v="65"/>
        <n v="20"/>
        <n v="69"/>
        <n v="27"/>
        <n v="43.717434869739478"/>
        <n v="42"/>
      </sharedItems>
    </cacheField>
    <cacheField name="Gender" numFmtId="0">
      <sharedItems count="3">
        <s v="Female"/>
        <s v="Male"/>
        <s v="unknown"/>
      </sharedItems>
    </cacheField>
    <cacheField name="Income" numFmtId="0">
      <sharedItems/>
    </cacheField>
    <cacheField name="Date" numFmtId="164">
      <sharedItems containsSemiMixedTypes="0" containsNonDate="0" containsDate="1" containsString="0" minDate="2023-03-02T00:00:00" maxDate="2024-03-01T00:00:00"/>
    </cacheField>
    <cacheField name="Total_Purchases" numFmtId="1">
      <sharedItems containsSemiMixedTypes="0" containsString="0" containsNumber="1" minValue="1" maxValue="10"/>
    </cacheField>
    <cacheField name="Amount" numFmtId="0">
      <sharedItems containsSemiMixedTypes="0" containsString="0" containsNumber="1" minValue="11.212817039999999" maxValue="498.01702340000003"/>
    </cacheField>
    <cacheField name="Total_Amount" numFmtId="0">
      <sharedItems containsSemiMixedTypes="0" containsString="0" containsNumber="1" minValue="13.506763100000001" maxValue="4885.2871610000002"/>
    </cacheField>
    <cacheField name="Product_Category" numFmtId="0">
      <sharedItems count="5">
        <s v="Clothing"/>
        <s v="Electronics"/>
        <s v="Books"/>
        <s v="Home Decor"/>
        <s v="Grocery"/>
      </sharedItems>
    </cacheField>
    <cacheField name="Product_Type" numFmtId="0">
      <sharedItems count="30">
        <s v="Television"/>
        <s v="Children's"/>
        <s v="Non-Fiction"/>
        <s v="Fiction"/>
        <s v="Juice"/>
        <s v="Jeans"/>
        <s v="Tablet"/>
        <s v="Lighting"/>
        <s v="Shorts"/>
        <s v="Thriller"/>
        <s v="Bathroom"/>
        <s v="Shirt"/>
        <s v="Decorations"/>
        <s v="Shoes"/>
        <s v="Dress"/>
        <s v="Smartphone"/>
        <s v="Jacket"/>
        <s v="T-shirt"/>
        <s v="Chocolate"/>
        <s v="Soft Drink"/>
        <s v="Water"/>
        <s v="Headphones"/>
        <s v="Furniture"/>
        <s v="Snacks"/>
        <s v="Laptop"/>
        <s v="Coffee"/>
        <s v="Kitchen"/>
        <s v="Literature"/>
        <s v="Tools"/>
        <s v="Bedding"/>
      </sharedItems>
    </cacheField>
    <cacheField name="Rating" numFmtId="1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4613625"/>
    <n v="72950"/>
    <s v="Gregory Bates"/>
    <s v="Portsmouth"/>
    <x v="0"/>
    <x v="0"/>
    <s v="Low"/>
    <d v="2023-06-06T00:00:00"/>
    <n v="10"/>
    <n v="488.5287161"/>
    <n v="4885.2871610000002"/>
    <x v="0"/>
    <x v="0"/>
    <n v="2"/>
  </r>
  <r>
    <n v="8093529"/>
    <n v="45413"/>
    <s v="Lauren Johnson"/>
    <s v="Portsmouth"/>
    <x v="1"/>
    <x v="1"/>
    <s v="Medium"/>
    <d v="2023-03-04T00:00:00"/>
    <n v="10"/>
    <n v="485.07736169999998"/>
    <n v="4850.7736169999998"/>
    <x v="1"/>
    <x v="1"/>
    <n v="1"/>
  </r>
  <r>
    <n v="9627400"/>
    <n v="97549"/>
    <s v="Brady Stanley"/>
    <s v="Portsmouth"/>
    <x v="2"/>
    <x v="1"/>
    <s v="Medium"/>
    <d v="2023-11-26T00:00:00"/>
    <n v="10"/>
    <n v="475.53466079999998"/>
    <n v="4755.3466079999998"/>
    <x v="2"/>
    <x v="2"/>
    <n v="1"/>
  </r>
  <r>
    <n v="4066984"/>
    <n v="61816"/>
    <s v="Patrick Long"/>
    <s v="Portsmouth"/>
    <x v="3"/>
    <x v="1"/>
    <s v="High"/>
    <d v="2023-05-06T00:00:00"/>
    <n v="10"/>
    <n v="466.72160350000001"/>
    <n v="4667.2160350000004"/>
    <x v="3"/>
    <x v="3"/>
    <n v="4"/>
  </r>
  <r>
    <n v="4669285"/>
    <n v="64275"/>
    <s v="Mrs. Taylor Dixon"/>
    <s v="Portsmouth"/>
    <x v="4"/>
    <x v="0"/>
    <s v="Low"/>
    <d v="2023-04-20T00:00:00"/>
    <n v="10"/>
    <n v="451.8677874"/>
    <n v="4518.677874"/>
    <x v="4"/>
    <x v="4"/>
    <n v="3"/>
  </r>
  <r>
    <n v="5777205"/>
    <n v="20280"/>
    <s v="Patrick Joseph"/>
    <s v="Portsmouth"/>
    <x v="5"/>
    <x v="1"/>
    <s v="Low"/>
    <d v="2023-12-05T00:00:00"/>
    <n v="10"/>
    <n v="448.71276899999998"/>
    <n v="4487.1276900000003"/>
    <x v="1"/>
    <x v="5"/>
    <n v="2"/>
  </r>
  <r>
    <n v="8556117"/>
    <n v="89722"/>
    <s v="Eric Choi"/>
    <s v="Portsmouth"/>
    <x v="6"/>
    <x v="1"/>
    <s v="Medium"/>
    <d v="2023-08-06T00:00:00"/>
    <n v="10"/>
    <n v="435.68257590000002"/>
    <n v="4356.8257590000003"/>
    <x v="1"/>
    <x v="6"/>
    <n v="2"/>
  </r>
  <r>
    <n v="4501991"/>
    <n v="31998"/>
    <s v="Patrick Smith"/>
    <s v="Portsmouth"/>
    <x v="7"/>
    <x v="0"/>
    <s v="Medium"/>
    <d v="2023-09-25T00:00:00"/>
    <n v="9"/>
    <n v="481.87974220000001"/>
    <n v="4336.9176799999996"/>
    <x v="0"/>
    <x v="2"/>
    <n v="4"/>
  </r>
  <r>
    <n v="4021565"/>
    <n v="59819"/>
    <s v="Christina Snow"/>
    <s v="Portsmouth"/>
    <x v="8"/>
    <x v="1"/>
    <s v="Medium"/>
    <d v="2023-10-08T00:00:00"/>
    <n v="9"/>
    <n v="474.8269416"/>
    <n v="4273.4424740000004"/>
    <x v="4"/>
    <x v="2"/>
    <n v="2"/>
  </r>
  <r>
    <n v="2821321"/>
    <n v="83578"/>
    <s v="Heather Reed"/>
    <s v="Portsmouth"/>
    <x v="0"/>
    <x v="0"/>
    <s v="Low"/>
    <d v="2023-12-05T00:00:00"/>
    <n v="9"/>
    <n v="474.17841099999998"/>
    <n v="4267.6056989999997"/>
    <x v="3"/>
    <x v="4"/>
    <n v="1"/>
  </r>
  <r>
    <n v="6654529"/>
    <n v="99025"/>
    <s v="Christine Turner"/>
    <s v="Portsmouth"/>
    <x v="9"/>
    <x v="1"/>
    <s v="High"/>
    <d v="2023-08-10T00:00:00"/>
    <n v="10"/>
    <n v="424.93482269999998"/>
    <n v="4249.3482270000004"/>
    <x v="3"/>
    <x v="7"/>
    <n v="1"/>
  </r>
  <r>
    <n v="8274674"/>
    <n v="14091"/>
    <s v="Gary Murphy"/>
    <s v="Portsmouth"/>
    <x v="10"/>
    <x v="1"/>
    <s v="Low"/>
    <d v="2023-04-27T00:00:00"/>
    <n v="9"/>
    <n v="469.90135750000002"/>
    <n v="4229.1122169999999"/>
    <x v="2"/>
    <x v="6"/>
    <n v="3"/>
  </r>
  <r>
    <n v="4176344"/>
    <n v="11393"/>
    <s v="Jerry Chaney"/>
    <s v="Portsmouth"/>
    <x v="2"/>
    <x v="1"/>
    <s v="High"/>
    <d v="2023-07-08T00:00:00"/>
    <n v="9"/>
    <n v="457.29234550000001"/>
    <n v="4115.6311089999999"/>
    <x v="4"/>
    <x v="8"/>
    <n v="4"/>
  </r>
  <r>
    <n v="4954042"/>
    <n v="74095"/>
    <s v="Michelle Johnston"/>
    <s v="Portsmouth"/>
    <x v="11"/>
    <x v="1"/>
    <s v="Medium"/>
    <d v="2023-10-20T00:00:00"/>
    <n v="9"/>
    <n v="448.58926819999999"/>
    <n v="4037.303414"/>
    <x v="4"/>
    <x v="9"/>
    <n v="2"/>
  </r>
  <r>
    <n v="3838929"/>
    <n v="30563"/>
    <s v="Pedro Estrada"/>
    <s v="Portsmouth"/>
    <x v="12"/>
    <x v="0"/>
    <s v="Medium"/>
    <d v="2024-01-25T00:00:00"/>
    <n v="10"/>
    <n v="402.44745699999999"/>
    <n v="4024.4745699999999"/>
    <x v="0"/>
    <x v="3"/>
    <n v="4"/>
  </r>
  <r>
    <n v="6748475"/>
    <n v="26560"/>
    <s v="Guy Hunter DDS"/>
    <s v="Portsmouth"/>
    <x v="13"/>
    <x v="1"/>
    <s v="Low"/>
    <d v="2023-11-20T00:00:00"/>
    <n v="9"/>
    <n v="442.43493230000001"/>
    <n v="3981.9143899999999"/>
    <x v="2"/>
    <x v="10"/>
    <n v="2"/>
  </r>
  <r>
    <n v="8728095"/>
    <n v="40705"/>
    <s v="Joanna Thomas"/>
    <s v="Portsmouth"/>
    <x v="14"/>
    <x v="1"/>
    <s v="Low"/>
    <d v="2023-03-11T00:00:00"/>
    <n v="8"/>
    <n v="497.53193140000002"/>
    <n v="3980.255451"/>
    <x v="4"/>
    <x v="11"/>
    <n v="1"/>
  </r>
  <r>
    <n v="4926148"/>
    <n v="31878"/>
    <s v="Lori Bell"/>
    <s v="Cologne"/>
    <x v="12"/>
    <x v="1"/>
    <s v="Medium"/>
    <d v="2023-10-04T00:00:00"/>
    <n v="10"/>
    <n v="397.61122949999998"/>
    <n v="3976.1122949999999"/>
    <x v="1"/>
    <x v="12"/>
    <n v="4"/>
  </r>
  <r>
    <n v="7242747"/>
    <n v="73394"/>
    <s v="Vickie Myers"/>
    <s v="Portsmouth"/>
    <x v="15"/>
    <x v="1"/>
    <s v="Medium"/>
    <d v="2023-07-11T00:00:00"/>
    <n v="9"/>
    <n v="441.43599929999999"/>
    <n v="3972.9239940000002"/>
    <x v="4"/>
    <x v="9"/>
    <n v="2"/>
  </r>
  <r>
    <n v="9702392"/>
    <n v="75848"/>
    <s v="Steven Weiss"/>
    <s v="Portsmouth"/>
    <x v="16"/>
    <x v="0"/>
    <s v="Medium"/>
    <d v="2024-02-10T00:00:00"/>
    <n v="9"/>
    <n v="438.11646539999998"/>
    <n v="3943.0481890000001"/>
    <x v="3"/>
    <x v="9"/>
    <n v="4"/>
  </r>
  <r>
    <n v="3528652"/>
    <n v="26940"/>
    <s v="Zachary Abbott"/>
    <s v="Portsmouth"/>
    <x v="17"/>
    <x v="1"/>
    <s v="Medium"/>
    <d v="2023-07-15T00:00:00"/>
    <n v="8"/>
    <n v="492.54553349999998"/>
    <n v="3940.3642679999998"/>
    <x v="4"/>
    <x v="13"/>
    <n v="4"/>
  </r>
  <r>
    <n v="5476448"/>
    <n v="15698"/>
    <s v="Debbie Sanchez"/>
    <s v="Portsmouth"/>
    <x v="11"/>
    <x v="1"/>
    <s v="Medium"/>
    <d v="2024-02-19T00:00:00"/>
    <n v="8"/>
    <n v="486.40987669999998"/>
    <n v="3891.2790140000002"/>
    <x v="2"/>
    <x v="0"/>
    <n v="5"/>
  </r>
  <r>
    <n v="6921233"/>
    <n v="21381"/>
    <s v="Stanley Quinn"/>
    <s v="Portsmouth"/>
    <x v="18"/>
    <x v="1"/>
    <s v="Medium"/>
    <d v="2023-11-26T00:00:00"/>
    <n v="10"/>
    <n v="387.55344580000002"/>
    <n v="3875.5344580000001"/>
    <x v="2"/>
    <x v="12"/>
    <n v="2"/>
  </r>
  <r>
    <n v="7918631"/>
    <n v="30726"/>
    <s v="Christopher Barton"/>
    <s v="Portsmouth"/>
    <x v="19"/>
    <x v="1"/>
    <s v="Medium"/>
    <d v="2023-08-05T00:00:00"/>
    <n v="9"/>
    <n v="430.10281420000001"/>
    <n v="3870.9253279999998"/>
    <x v="3"/>
    <x v="3"/>
    <n v="1"/>
  </r>
  <r>
    <n v="8697012"/>
    <n v="16597"/>
    <s v="Leslie Decker"/>
    <s v="Portsmouth"/>
    <x v="20"/>
    <x v="1"/>
    <s v="Medium"/>
    <d v="2023-12-03T00:00:00"/>
    <n v="10"/>
    <n v="385.98386649999998"/>
    <n v="3859.8386650000002"/>
    <x v="4"/>
    <x v="14"/>
    <n v="4"/>
  </r>
  <r>
    <n v="4199333"/>
    <n v="61101"/>
    <s v="Gregory Wagner"/>
    <s v="Portsmouth"/>
    <x v="21"/>
    <x v="1"/>
    <s v="Medium"/>
    <d v="2024-01-31T00:00:00"/>
    <n v="9"/>
    <n v="427.04043259999997"/>
    <n v="3843.3638940000001"/>
    <x v="3"/>
    <x v="0"/>
    <n v="5"/>
  </r>
  <r>
    <n v="7916796"/>
    <n v="38118"/>
    <s v="Thomas Stein"/>
    <s v="Portsmouth"/>
    <x v="0"/>
    <x v="1"/>
    <s v="Medium"/>
    <d v="2023-06-15T00:00:00"/>
    <n v="9"/>
    <n v="418.47161390000002"/>
    <n v="3766.2445250000001"/>
    <x v="1"/>
    <x v="6"/>
    <n v="1"/>
  </r>
  <r>
    <n v="6298651"/>
    <n v="50555"/>
    <s v="Steven Riddle"/>
    <s v="Portsmouth"/>
    <x v="17"/>
    <x v="1"/>
    <s v="Low"/>
    <d v="2024-02-02T00:00:00"/>
    <n v="10"/>
    <n v="373.83639829999998"/>
    <n v="3738.3639830000002"/>
    <x v="1"/>
    <x v="15"/>
    <n v="1"/>
  </r>
  <r>
    <n v="8966152"/>
    <n v="42739"/>
    <s v="Maria Miller"/>
    <s v="Portsmouth"/>
    <x v="22"/>
    <x v="1"/>
    <s v="Low"/>
    <d v="2023-08-02T00:00:00"/>
    <n v="10"/>
    <n v="370.5443899"/>
    <n v="3705.4438989999999"/>
    <x v="3"/>
    <x v="16"/>
    <n v="5"/>
  </r>
  <r>
    <n v="6983938"/>
    <n v="15757"/>
    <s v="Mr. Evan Sutton"/>
    <s v="Portsmouth"/>
    <x v="23"/>
    <x v="1"/>
    <s v="Medium"/>
    <d v="2023-06-28T00:00:00"/>
    <n v="10"/>
    <n v="363.48134479999999"/>
    <n v="3634.8134479999999"/>
    <x v="4"/>
    <x v="15"/>
    <n v="2"/>
  </r>
  <r>
    <n v="5816644"/>
    <n v="38393"/>
    <s v="Mario Sparks"/>
    <s v="Portsmouth"/>
    <x v="24"/>
    <x v="1"/>
    <s v="Medium"/>
    <d v="2023-05-13T00:00:00"/>
    <n v="9"/>
    <n v="403.83737309999998"/>
    <n v="3634.5363579999998"/>
    <x v="0"/>
    <x v="3"/>
    <n v="1"/>
  </r>
  <r>
    <n v="2859196"/>
    <n v="73353"/>
    <s v="Ryan Cook"/>
    <s v="Portsmouth"/>
    <x v="1"/>
    <x v="1"/>
    <s v="Medium"/>
    <d v="2023-03-18T00:00:00"/>
    <n v="10"/>
    <n v="362.62191960000001"/>
    <n v="3626.219196"/>
    <x v="2"/>
    <x v="17"/>
    <n v="4"/>
  </r>
  <r>
    <n v="4809422"/>
    <n v="19347"/>
    <s v="John Santos"/>
    <s v="Portsmouth"/>
    <x v="12"/>
    <x v="0"/>
    <s v="High"/>
    <d v="2023-05-23T00:00:00"/>
    <n v="8"/>
    <n v="453.02329659999998"/>
    <n v="3624.186373"/>
    <x v="3"/>
    <x v="3"/>
    <n v="2"/>
  </r>
  <r>
    <n v="8380095"/>
    <n v="80891"/>
    <s v="Lisa Newman"/>
    <s v="Portsmouth"/>
    <x v="25"/>
    <x v="1"/>
    <s v="Medium"/>
    <d v="2024-02-15T00:00:00"/>
    <n v="10"/>
    <n v="361.26883579999998"/>
    <n v="3612.6883579999999"/>
    <x v="1"/>
    <x v="18"/>
    <n v="1"/>
  </r>
  <r>
    <n v="9844506"/>
    <n v="56970"/>
    <s v="Christine Lewis"/>
    <s v="Portsmouth"/>
    <x v="0"/>
    <x v="1"/>
    <s v="Low"/>
    <d v="2023-04-04T00:00:00"/>
    <n v="10"/>
    <n v="352.83185420000001"/>
    <n v="3528.318542"/>
    <x v="4"/>
    <x v="10"/>
    <n v="3"/>
  </r>
  <r>
    <n v="9634627"/>
    <n v="90837"/>
    <s v="Charles Rogers"/>
    <s v="Portsmouth"/>
    <x v="20"/>
    <x v="1"/>
    <s v="Low"/>
    <d v="2024-02-06T00:00:00"/>
    <n v="8"/>
    <n v="436.74937499999999"/>
    <n v="3493.9949999999999"/>
    <x v="3"/>
    <x v="6"/>
    <n v="2"/>
  </r>
  <r>
    <n v="9338306"/>
    <n v="48869"/>
    <s v="Ashley Watson"/>
    <s v="Portsmouth"/>
    <x v="26"/>
    <x v="0"/>
    <s v="Low"/>
    <d v="2023-05-31T00:00:00"/>
    <n v="8"/>
    <n v="436.60790909999997"/>
    <n v="3492.8632729999999"/>
    <x v="0"/>
    <x v="10"/>
    <n v="3"/>
  </r>
  <r>
    <n v="4615607"/>
    <n v="22945"/>
    <s v="Jessica Burke"/>
    <s v="Portsmouth"/>
    <x v="27"/>
    <x v="0"/>
    <s v="Medium"/>
    <d v="2024-01-26T00:00:00"/>
    <n v="9"/>
    <n v="386.98430380000002"/>
    <n v="3482.8587339999999"/>
    <x v="2"/>
    <x v="9"/>
    <n v="1"/>
  </r>
  <r>
    <n v="9517916"/>
    <n v="44149"/>
    <s v="Craig Cooper"/>
    <s v="Portsmouth"/>
    <x v="8"/>
    <x v="1"/>
    <s v="High"/>
    <d v="2023-07-04T00:00:00"/>
    <n v="8"/>
    <n v="434.4834194"/>
    <n v="3475.8673549999999"/>
    <x v="4"/>
    <x v="19"/>
    <n v="2"/>
  </r>
  <r>
    <n v="8039295"/>
    <n v="77202"/>
    <s v="Jamie Morales"/>
    <s v="Portsmouth"/>
    <x v="28"/>
    <x v="1"/>
    <s v="Medium"/>
    <d v="2023-10-14T00:00:00"/>
    <n v="7"/>
    <n v="488.37157819999999"/>
    <n v="3418.6010470000001"/>
    <x v="0"/>
    <x v="20"/>
    <n v="1"/>
  </r>
  <r>
    <n v="6179281"/>
    <n v="96361"/>
    <s v="Taylor Wright"/>
    <s v="Portsmouth"/>
    <x v="29"/>
    <x v="1"/>
    <s v="High"/>
    <d v="2023-03-11T00:00:00"/>
    <n v="10"/>
    <n v="338.04505130000001"/>
    <n v="3380.4505129999998"/>
    <x v="4"/>
    <x v="6"/>
    <n v="3"/>
  </r>
  <r>
    <n v="1166989"/>
    <n v="60009"/>
    <s v="Diane Martinez"/>
    <s v="Portsmouth"/>
    <x v="30"/>
    <x v="1"/>
    <s v="Low"/>
    <d v="2023-11-16T00:00:00"/>
    <n v="10"/>
    <n v="337.95890889999998"/>
    <n v="3379.5890890000001"/>
    <x v="2"/>
    <x v="21"/>
    <n v="4"/>
  </r>
  <r>
    <n v="6438013"/>
    <n v="33012"/>
    <s v="Sarah Reyes"/>
    <s v="Portsmouth"/>
    <x v="22"/>
    <x v="1"/>
    <s v="Low"/>
    <d v="2023-06-12T00:00:00"/>
    <n v="10"/>
    <n v="336.64404910000002"/>
    <n v="3366.4404909999998"/>
    <x v="1"/>
    <x v="12"/>
    <n v="4"/>
  </r>
  <r>
    <n v="6393080"/>
    <n v="28554"/>
    <s v="Carla Stein"/>
    <s v="Portsmouth"/>
    <x v="31"/>
    <x v="0"/>
    <s v="Medium"/>
    <d v="2023-08-15T00:00:00"/>
    <n v="9"/>
    <n v="360.6581908"/>
    <n v="3245.9237170000001"/>
    <x v="3"/>
    <x v="22"/>
    <n v="1"/>
  </r>
  <r>
    <n v="7177238"/>
    <n v="95547"/>
    <s v="Sarah Li"/>
    <s v="Portsmouth"/>
    <x v="9"/>
    <x v="1"/>
    <s v="High"/>
    <d v="2024-02-05T00:00:00"/>
    <n v="7"/>
    <n v="459.68229330000003"/>
    <n v="3217.776053"/>
    <x v="0"/>
    <x v="2"/>
    <n v="4"/>
  </r>
  <r>
    <n v="1126150"/>
    <n v="36687"/>
    <s v="Jonathan Humphrey"/>
    <s v="Portsmouth"/>
    <x v="32"/>
    <x v="1"/>
    <s v="Low"/>
    <d v="2023-06-03T00:00:00"/>
    <n v="7"/>
    <n v="456.81903349999999"/>
    <n v="3197.7332350000001"/>
    <x v="1"/>
    <x v="12"/>
    <n v="1"/>
  </r>
  <r>
    <n v="3217461"/>
    <n v="74671"/>
    <s v="Felicia Brown"/>
    <s v="Portsmouth"/>
    <x v="33"/>
    <x v="0"/>
    <s v="Medium"/>
    <d v="2023-05-07T00:00:00"/>
    <n v="9"/>
    <n v="350.81701579999998"/>
    <n v="3157.3531419999999"/>
    <x v="3"/>
    <x v="23"/>
    <n v="4"/>
  </r>
  <r>
    <n v="5161746"/>
    <n v="95925"/>
    <s v="Jesus Cole"/>
    <s v="Portsmouth"/>
    <x v="32"/>
    <x v="1"/>
    <s v="Medium"/>
    <d v="2023-03-12T00:00:00"/>
    <n v="10"/>
    <n v="313.48811430000001"/>
    <n v="3134.8811430000001"/>
    <x v="3"/>
    <x v="21"/>
    <n v="2"/>
  </r>
  <r>
    <n v="3815037"/>
    <n v="58363"/>
    <s v="William Mcclain"/>
    <s v="Portsmouth"/>
    <x v="23"/>
    <x v="1"/>
    <s v="Medium"/>
    <d v="2023-05-26T00:00:00"/>
    <n v="8"/>
    <n v="390.7484786"/>
    <n v="3125.9878290000001"/>
    <x v="3"/>
    <x v="15"/>
    <n v="5"/>
  </r>
  <r>
    <n v="1175370"/>
    <n v="77311"/>
    <s v="Deanna Miller"/>
    <s v="Portsmouth"/>
    <x v="29"/>
    <x v="0"/>
    <s v="Medium"/>
    <d v="2024-01-26T00:00:00"/>
    <n v="7"/>
    <n v="441.30493209999997"/>
    <n v="3089.1345249999999"/>
    <x v="0"/>
    <x v="24"/>
    <n v="5"/>
  </r>
  <r>
    <n v="9570629"/>
    <n v="57144"/>
    <s v="Melissa Jones"/>
    <s v="Portsmouth"/>
    <x v="20"/>
    <x v="1"/>
    <s v="High"/>
    <d v="2023-12-15T00:00:00"/>
    <n v="10"/>
    <n v="304.6860183"/>
    <n v="3046.8601829999998"/>
    <x v="3"/>
    <x v="8"/>
    <n v="4"/>
  </r>
  <r>
    <n v="5292389"/>
    <n v="44721"/>
    <s v="Rebekah Marsh"/>
    <s v="Portsmouth"/>
    <x v="14"/>
    <x v="1"/>
    <s v="Medium"/>
    <d v="2023-06-21T00:00:00"/>
    <n v="8"/>
    <n v="378.0900805"/>
    <n v="3024.720644"/>
    <x v="4"/>
    <x v="5"/>
    <n v="5"/>
  </r>
  <r>
    <n v="5773486"/>
    <n v="57550"/>
    <s v="Miss Adrienne Walker MD"/>
    <s v="Portsmouth"/>
    <x v="34"/>
    <x v="1"/>
    <s v="Low"/>
    <d v="2023-12-30T00:00:00"/>
    <n v="9"/>
    <n v="334.6147315"/>
    <n v="3011.5325830000002"/>
    <x v="1"/>
    <x v="25"/>
    <n v="4"/>
  </r>
  <r>
    <n v="7361679"/>
    <n v="47748"/>
    <s v="Alexis Smith"/>
    <s v="Portsmouth"/>
    <x v="35"/>
    <x v="1"/>
    <s v="Medium"/>
    <d v="2023-03-05T00:00:00"/>
    <n v="10"/>
    <n v="300.26844160000002"/>
    <n v="3002.6844160000001"/>
    <x v="1"/>
    <x v="16"/>
    <n v="0"/>
  </r>
  <r>
    <n v="5419578"/>
    <n v="88294"/>
    <s v="Rhonda Parsons"/>
    <s v="Portsmouth"/>
    <x v="19"/>
    <x v="1"/>
    <s v="Medium"/>
    <d v="2023-06-15T00:00:00"/>
    <n v="7"/>
    <n v="423.61308450000001"/>
    <n v="2965.2915910000002"/>
    <x v="0"/>
    <x v="4"/>
    <n v="1"/>
  </r>
  <r>
    <n v="4946535"/>
    <n v="73735"/>
    <s v="Kathleen Garcia"/>
    <s v="Portsmouth"/>
    <x v="32"/>
    <x v="1"/>
    <s v="Medium"/>
    <d v="2023-09-17T00:00:00"/>
    <n v="6"/>
    <n v="493.30151499999999"/>
    <n v="2959.8090900000002"/>
    <x v="1"/>
    <x v="0"/>
    <n v="4"/>
  </r>
  <r>
    <n v="4153822"/>
    <n v="58115"/>
    <s v="Julie Moore"/>
    <s v="Portsmouth"/>
    <x v="17"/>
    <x v="1"/>
    <s v="Medium"/>
    <d v="2023-09-20T00:00:00"/>
    <n v="6"/>
    <n v="491.72574090000001"/>
    <n v="2950.3544459999998"/>
    <x v="3"/>
    <x v="21"/>
    <n v="3"/>
  </r>
  <r>
    <n v="9213173"/>
    <n v="27495"/>
    <s v="Devin Rodriguez"/>
    <s v="Portsmouth"/>
    <x v="3"/>
    <x v="1"/>
    <s v="Medium"/>
    <d v="2023-08-12T00:00:00"/>
    <n v="6"/>
    <n v="488.99318510000001"/>
    <n v="2933.9591110000001"/>
    <x v="4"/>
    <x v="11"/>
    <n v="5"/>
  </r>
  <r>
    <n v="1198092"/>
    <n v="96720"/>
    <s v="Robert Torres"/>
    <s v="Portsmouth"/>
    <x v="3"/>
    <x v="1"/>
    <s v="Medium"/>
    <d v="2023-03-22T00:00:00"/>
    <n v="9"/>
    <n v="324.72674719999998"/>
    <n v="2922.5407249999998"/>
    <x v="2"/>
    <x v="23"/>
    <n v="3"/>
  </r>
  <r>
    <n v="3381958"/>
    <n v="70067"/>
    <s v="Ashley Adams"/>
    <s v="Portsmouth"/>
    <x v="28"/>
    <x v="1"/>
    <s v="High"/>
    <d v="2023-07-19T00:00:00"/>
    <n v="8"/>
    <n v="364.5142093"/>
    <n v="2916.1136750000001"/>
    <x v="2"/>
    <x v="21"/>
    <n v="2"/>
  </r>
  <r>
    <n v="3410438"/>
    <n v="14771"/>
    <s v="Jennifer Rogers"/>
    <s v="Portsmouth"/>
    <x v="22"/>
    <x v="1"/>
    <s v="Medium"/>
    <d v="2023-04-23T00:00:00"/>
    <n v="8"/>
    <n v="362.15563429999997"/>
    <n v="2897.2450739999999"/>
    <x v="3"/>
    <x v="11"/>
    <n v="1"/>
  </r>
  <r>
    <n v="7476905"/>
    <n v="33107"/>
    <s v="Brittany Munoz"/>
    <s v="Portsmouth"/>
    <x v="36"/>
    <x v="1"/>
    <s v="Medium"/>
    <d v="2023-12-26T00:00:00"/>
    <n v="7"/>
    <n v="413.60966830000001"/>
    <n v="2895.2676780000002"/>
    <x v="3"/>
    <x v="13"/>
    <n v="5"/>
  </r>
  <r>
    <n v="4583042"/>
    <n v="14984"/>
    <s v="Gary Jackson"/>
    <s v="Portsmouth"/>
    <x v="25"/>
    <x v="0"/>
    <s v="High"/>
    <d v="2023-07-29T00:00:00"/>
    <n v="7"/>
    <n v="412.51046839999998"/>
    <n v="2887.5732790000002"/>
    <x v="0"/>
    <x v="25"/>
    <n v="1"/>
  </r>
  <r>
    <n v="3015432"/>
    <n v="12790"/>
    <s v="Nicole Diaz"/>
    <s v="Portsmouth"/>
    <x v="9"/>
    <x v="0"/>
    <s v="Medium"/>
    <d v="2023-03-21T00:00:00"/>
    <n v="6"/>
    <n v="478.99855009999999"/>
    <n v="2873.9913000000001"/>
    <x v="2"/>
    <x v="4"/>
    <n v="1"/>
  </r>
  <r>
    <n v="2629939"/>
    <n v="75243"/>
    <s v="Susan Juarez"/>
    <s v="Portsmouth"/>
    <x v="29"/>
    <x v="0"/>
    <s v="Low"/>
    <d v="2024-01-20T00:00:00"/>
    <n v="7"/>
    <n v="408.91197940000001"/>
    <n v="2862.3838559999999"/>
    <x v="3"/>
    <x v="2"/>
    <n v="5"/>
  </r>
  <r>
    <n v="2075646"/>
    <n v="63956"/>
    <s v="Don Huffman"/>
    <s v="Portsmouth"/>
    <x v="6"/>
    <x v="0"/>
    <s v="Medium"/>
    <d v="2023-05-18T00:00:00"/>
    <n v="6"/>
    <n v="476.76271659999998"/>
    <n v="2860.5763000000002"/>
    <x v="2"/>
    <x v="12"/>
    <n v="1"/>
  </r>
  <r>
    <n v="1217487"/>
    <n v="69214"/>
    <s v="Carly Vega"/>
    <s v="Portsmouth"/>
    <x v="30"/>
    <x v="1"/>
    <s v="Medium"/>
    <d v="2023-03-08T00:00:00"/>
    <n v="6"/>
    <n v="474.79926069999999"/>
    <n v="2848.795564"/>
    <x v="1"/>
    <x v="17"/>
    <n v="1"/>
  </r>
  <r>
    <n v="9510333"/>
    <n v="71053"/>
    <s v="Suzanne Thompson"/>
    <s v="Portsmouth"/>
    <x v="37"/>
    <x v="0"/>
    <s v="Medium"/>
    <d v="2023-04-08T00:00:00"/>
    <n v="7"/>
    <n v="405.99011150000001"/>
    <n v="2841.930781"/>
    <x v="3"/>
    <x v="26"/>
    <n v="5"/>
  </r>
  <r>
    <n v="1387434"/>
    <n v="38337"/>
    <s v="Judy Beasley"/>
    <s v="Portsmouth"/>
    <x v="9"/>
    <x v="0"/>
    <s v="Low"/>
    <d v="2023-05-09T00:00:00"/>
    <n v="6"/>
    <n v="472.82172379999997"/>
    <n v="2836.930343"/>
    <x v="0"/>
    <x v="19"/>
    <n v="1"/>
  </r>
  <r>
    <n v="3830638"/>
    <n v="97323"/>
    <s v="Matthew Franco"/>
    <s v="Portsmouth"/>
    <x v="38"/>
    <x v="1"/>
    <s v="Medium"/>
    <d v="2023-05-09T00:00:00"/>
    <n v="6"/>
    <n v="467.76977399999998"/>
    <n v="2806.6186440000001"/>
    <x v="2"/>
    <x v="15"/>
    <n v="4"/>
  </r>
  <r>
    <n v="6113733"/>
    <n v="86785"/>
    <s v="Todd Hernandez"/>
    <s v="Portsmouth"/>
    <x v="39"/>
    <x v="0"/>
    <s v="Medium"/>
    <d v="2023-05-16T00:00:00"/>
    <n v="9"/>
    <n v="311.44461430000001"/>
    <n v="2803.0015279999998"/>
    <x v="4"/>
    <x v="11"/>
    <n v="1"/>
  </r>
  <r>
    <n v="1214388"/>
    <n v="75644"/>
    <s v="Nicole Fisher"/>
    <s v="Portsmouth"/>
    <x v="40"/>
    <x v="1"/>
    <s v="Medium"/>
    <d v="2023-11-18T00:00:00"/>
    <n v="7"/>
    <n v="395.51273049999998"/>
    <n v="2768.589113"/>
    <x v="1"/>
    <x v="5"/>
    <n v="5"/>
  </r>
  <r>
    <n v="5532127"/>
    <n v="51980"/>
    <s v="Victoria Short"/>
    <s v="Portsmouth"/>
    <x v="37"/>
    <x v="0"/>
    <s v="High"/>
    <d v="2023-06-20T00:00:00"/>
    <n v="9"/>
    <n v="306.54573210000001"/>
    <n v="2758.9115889999998"/>
    <x v="0"/>
    <x v="27"/>
    <n v="2"/>
  </r>
  <r>
    <n v="2314603"/>
    <n v="34792"/>
    <s v="Linda Smith"/>
    <s v="Portsmouth"/>
    <x v="8"/>
    <x v="1"/>
    <s v="High"/>
    <d v="2023-12-14T00:00:00"/>
    <n v="6"/>
    <n v="458.19955640000001"/>
    <n v="2749.1973379999999"/>
    <x v="1"/>
    <x v="5"/>
    <n v="2"/>
  </r>
  <r>
    <n v="8893144"/>
    <n v="68547"/>
    <s v="Shannon Cooper"/>
    <s v="Portsmouth"/>
    <x v="14"/>
    <x v="1"/>
    <s v="Low"/>
    <d v="2023-08-28T00:00:00"/>
    <n v="7"/>
    <n v="390.1507446"/>
    <n v="2731.0552120000002"/>
    <x v="3"/>
    <x v="28"/>
    <n v="3"/>
  </r>
  <r>
    <n v="6650035"/>
    <n v="17901"/>
    <s v="William Carrillo"/>
    <s v="Portsmouth"/>
    <x v="21"/>
    <x v="1"/>
    <s v="Low"/>
    <d v="2023-09-22T00:00:00"/>
    <n v="7"/>
    <n v="388.1323319"/>
    <n v="2716.9263230000001"/>
    <x v="4"/>
    <x v="22"/>
    <n v="2"/>
  </r>
  <r>
    <n v="4668300"/>
    <n v="18113"/>
    <s v="Erica Juarez"/>
    <s v="Portsmouth"/>
    <x v="4"/>
    <x v="1"/>
    <s v="Medium"/>
    <d v="2024-02-08T00:00:00"/>
    <n v="6"/>
    <n v="445.47662159999999"/>
    <n v="2672.8597289999998"/>
    <x v="2"/>
    <x v="28"/>
    <n v="3"/>
  </r>
  <r>
    <n v="2459574"/>
    <n v="42540"/>
    <s v="Robin Jackson"/>
    <s v="Portsmouth"/>
    <x v="31"/>
    <x v="1"/>
    <s v="Medium"/>
    <d v="2023-04-22T00:00:00"/>
    <n v="8"/>
    <n v="333.85966389999999"/>
    <n v="2670.8773110000002"/>
    <x v="3"/>
    <x v="12"/>
    <n v="5"/>
  </r>
  <r>
    <n v="8930244"/>
    <n v="95441"/>
    <s v="Mr. Mark Thornton"/>
    <s v="Portsmouth"/>
    <x v="11"/>
    <x v="0"/>
    <s v="High"/>
    <d v="2023-05-31T00:00:00"/>
    <n v="10"/>
    <n v="265.1970086"/>
    <n v="2651.9700859999998"/>
    <x v="3"/>
    <x v="13"/>
    <n v="4"/>
  </r>
  <r>
    <n v="4155845"/>
    <n v="80175"/>
    <s v="Diane Clark"/>
    <s v="Wollongong"/>
    <x v="2"/>
    <x v="1"/>
    <s v="Medium"/>
    <d v="2024-01-06T00:00:00"/>
    <n v="8"/>
    <n v="328.83930170000002"/>
    <n v="2630.7144130000001"/>
    <x v="1"/>
    <x v="18"/>
    <n v="1"/>
  </r>
  <r>
    <n v="3121715"/>
    <n v="64722"/>
    <s v="Richard Morales"/>
    <s v="Portsmouth"/>
    <x v="17"/>
    <x v="1"/>
    <s v="Medium"/>
    <d v="2024-02-22T00:00:00"/>
    <n v="9"/>
    <n v="291.88127320000001"/>
    <n v="2626.9314589999999"/>
    <x v="1"/>
    <x v="27"/>
    <n v="2"/>
  </r>
  <r>
    <n v="9420169"/>
    <n v="89029"/>
    <s v="James Romero"/>
    <s v="Portsmouth"/>
    <x v="33"/>
    <x v="1"/>
    <s v="Low"/>
    <d v="2023-05-28T00:00:00"/>
    <n v="7"/>
    <n v="369.04741089999999"/>
    <n v="2583.3318760000002"/>
    <x v="1"/>
    <x v="25"/>
    <n v="2"/>
  </r>
  <r>
    <n v="4365027"/>
    <n v="97143"/>
    <s v="Michael Marshall"/>
    <s v="Portsmouth"/>
    <x v="5"/>
    <x v="1"/>
    <s v="High"/>
    <d v="2023-12-23T00:00:00"/>
    <n v="9"/>
    <n v="285.16873509999999"/>
    <n v="2566.5186159999998"/>
    <x v="0"/>
    <x v="11"/>
    <n v="2"/>
  </r>
  <r>
    <n v="8084246"/>
    <n v="93000"/>
    <s v="Justin Martin"/>
    <s v="Portsmouth"/>
    <x v="4"/>
    <x v="0"/>
    <s v="Low"/>
    <d v="2023-07-19T00:00:00"/>
    <n v="7"/>
    <n v="363.7069252"/>
    <n v="2545.9484769999999"/>
    <x v="4"/>
    <x v="3"/>
    <n v="1"/>
  </r>
  <r>
    <n v="6573179"/>
    <n v="55594"/>
    <s v="Tara Hawkins"/>
    <s v="Portsmouth"/>
    <x v="26"/>
    <x v="1"/>
    <s v="Low"/>
    <d v="2023-11-13T00:00:00"/>
    <n v="6"/>
    <n v="422.38726059999999"/>
    <n v="2534.3235629999999"/>
    <x v="0"/>
    <x v="16"/>
    <n v="5"/>
  </r>
  <r>
    <n v="6925572"/>
    <n v="42165"/>
    <s v="Daniel Hutchinson"/>
    <s v="Portsmouth"/>
    <x v="2"/>
    <x v="1"/>
    <s v="Low"/>
    <d v="2023-03-21T00:00:00"/>
    <n v="6"/>
    <n v="420.87502979999999"/>
    <n v="2525.2501790000001"/>
    <x v="2"/>
    <x v="25"/>
    <n v="2"/>
  </r>
  <r>
    <n v="6885155"/>
    <n v="89528"/>
    <s v="Thomas Wilson"/>
    <s v="Portsmouth"/>
    <x v="14"/>
    <x v="1"/>
    <s v="High"/>
    <d v="2024-02-10T00:00:00"/>
    <n v="7"/>
    <n v="360.09199039999999"/>
    <n v="2520.6439329999998"/>
    <x v="1"/>
    <x v="0"/>
    <n v="3"/>
  </r>
  <r>
    <n v="7260440"/>
    <n v="72079"/>
    <s v="Diana Thomas"/>
    <s v="Portsmouth"/>
    <x v="12"/>
    <x v="1"/>
    <s v="Low"/>
    <d v="2023-12-12T00:00:00"/>
    <n v="10"/>
    <n v="249.8993538"/>
    <n v="2498.9935380000002"/>
    <x v="2"/>
    <x v="22"/>
    <n v="1"/>
  </r>
  <r>
    <n v="7169620"/>
    <n v="99652"/>
    <s v="Jennifer Ferguson"/>
    <s v="Portsmouth"/>
    <x v="8"/>
    <x v="1"/>
    <s v="High"/>
    <d v="2023-11-30T00:00:00"/>
    <n v="8"/>
    <n v="311.89415309999998"/>
    <n v="2495.153225"/>
    <x v="4"/>
    <x v="15"/>
    <n v="1"/>
  </r>
  <r>
    <n v="9094852"/>
    <n v="61308"/>
    <s v="James Davis"/>
    <s v="Portsmouth"/>
    <x v="1"/>
    <x v="0"/>
    <s v="Medium"/>
    <d v="2023-10-27T00:00:00"/>
    <n v="5"/>
    <n v="498.01702340000003"/>
    <n v="2490.0851170000001"/>
    <x v="4"/>
    <x v="17"/>
    <n v="1"/>
  </r>
  <r>
    <n v="8780917"/>
    <n v="82551"/>
    <s v="April Scott"/>
    <s v="Portsmouth"/>
    <x v="14"/>
    <x v="0"/>
    <s v="Medium"/>
    <d v="2023-08-15T00:00:00"/>
    <n v="7"/>
    <n v="355.09029399999997"/>
    <n v="2485.6320580000001"/>
    <x v="2"/>
    <x v="4"/>
    <n v="3"/>
  </r>
  <r>
    <n v="7232460"/>
    <n v="62101"/>
    <s v="Joseph Miller"/>
    <s v="Edmonton"/>
    <x v="28"/>
    <x v="1"/>
    <s v="High"/>
    <d v="2023-05-08T00:00:00"/>
    <n v="7"/>
    <n v="352.4077173"/>
    <n v="2466.8540210000001"/>
    <x v="1"/>
    <x v="28"/>
    <n v="4"/>
  </r>
  <r>
    <n v="7204003"/>
    <n v="48869"/>
    <s v="Lisa Tucker"/>
    <s v="Portsmouth"/>
    <x v="40"/>
    <x v="1"/>
    <s v="High"/>
    <d v="2024-02-15T00:00:00"/>
    <n v="7"/>
    <n v="352.12903540000002"/>
    <n v="2464.9032480000001"/>
    <x v="1"/>
    <x v="2"/>
    <n v="4"/>
  </r>
  <r>
    <n v="7107984"/>
    <n v="99453"/>
    <s v="Catherine Poole"/>
    <s v="Portsmouth"/>
    <x v="14"/>
    <x v="0"/>
    <s v="Low"/>
    <d v="2023-11-30T00:00:00"/>
    <n v="7"/>
    <n v="348.49322510000002"/>
    <n v="2439.4525760000001"/>
    <x v="4"/>
    <x v="9"/>
    <n v="4"/>
  </r>
  <r>
    <n v="2053180"/>
    <n v="23951"/>
    <s v="Lisa Flores"/>
    <s v="Portsmouth"/>
    <x v="15"/>
    <x v="1"/>
    <s v="Medium"/>
    <d v="2023-12-23T00:00:00"/>
    <n v="6"/>
    <n v="404.85325949999998"/>
    <n v="2429.119557"/>
    <x v="0"/>
    <x v="28"/>
    <n v="4"/>
  </r>
  <r>
    <n v="8796466"/>
    <n v="90189"/>
    <s v="Maria Tucker"/>
    <s v="Portsmouth"/>
    <x v="23"/>
    <x v="0"/>
    <s v="Medium"/>
    <d v="2023-04-19T00:00:00"/>
    <n v="7"/>
    <n v="346.7195926"/>
    <n v="2427.0371479999999"/>
    <x v="4"/>
    <x v="29"/>
    <n v="1"/>
  </r>
  <r>
    <n v="8973612"/>
    <n v="65701"/>
    <s v="Christopher Lopez"/>
    <s v="Portsmouth"/>
    <x v="7"/>
    <x v="1"/>
    <s v="Medium"/>
    <d v="2023-05-22T00:00:00"/>
    <n v="7"/>
    <n v="344.67918509999998"/>
    <n v="2412.7542960000001"/>
    <x v="2"/>
    <x v="12"/>
    <n v="5"/>
  </r>
  <r>
    <n v="7196203"/>
    <n v="15041"/>
    <s v="Zachary Rodriguez"/>
    <s v="Portsmouth"/>
    <x v="33"/>
    <x v="0"/>
    <s v="Medium"/>
    <d v="2023-11-17T00:00:00"/>
    <n v="5"/>
    <n v="481.85917769999998"/>
    <n v="2409.295889"/>
    <x v="4"/>
    <x v="15"/>
    <n v="2"/>
  </r>
  <r>
    <n v="4962423"/>
    <n v="21224"/>
    <s v="Anne Larson"/>
    <s v="Portsmouth"/>
    <x v="24"/>
    <x v="0"/>
    <s v="Medium"/>
    <d v="2023-03-22T00:00:00"/>
    <n v="5"/>
    <n v="477.75456329999997"/>
    <n v="2388.772817"/>
    <x v="0"/>
    <x v="22"/>
    <n v="2"/>
  </r>
  <r>
    <n v="6726352"/>
    <n v="26172"/>
    <s v="Samuel Mclaughlin"/>
    <s v="Portsmouth"/>
    <x v="5"/>
    <x v="0"/>
    <s v="Low"/>
    <d v="2023-05-08T00:00:00"/>
    <n v="5"/>
    <n v="473.90139379999999"/>
    <n v="2369.506969"/>
    <x v="2"/>
    <x v="13"/>
    <n v="2"/>
  </r>
  <r>
    <n v="9209702"/>
    <n v="30293"/>
    <s v="Kimberly Franklin"/>
    <s v="Portsmouth"/>
    <x v="18"/>
    <x v="1"/>
    <s v="Medium"/>
    <d v="2023-04-03T00:00:00"/>
    <n v="5"/>
    <n v="472.79834940000001"/>
    <n v="2363.991747"/>
    <x v="2"/>
    <x v="4"/>
    <n v="4"/>
  </r>
  <r>
    <n v="5230876"/>
    <n v="23097"/>
    <s v="Michael Cole"/>
    <s v="Portsmouth"/>
    <x v="18"/>
    <x v="1"/>
    <s v="Low"/>
    <d v="2024-01-07T00:00:00"/>
    <n v="5"/>
    <n v="471.48213199999998"/>
    <n v="2357.41066"/>
    <x v="4"/>
    <x v="6"/>
    <n v="1"/>
  </r>
  <r>
    <n v="1719847"/>
    <n v="47017"/>
    <s v="Mark Carter"/>
    <s v="Portsmouth"/>
    <x v="6"/>
    <x v="1"/>
    <s v="Medium"/>
    <d v="2023-09-18T00:00:00"/>
    <n v="5"/>
    <n v="471.317362"/>
    <n v="2356.5868099999998"/>
    <x v="4"/>
    <x v="20"/>
    <n v="5"/>
  </r>
  <r>
    <n v="9484414"/>
    <n v="50056"/>
    <s v="Sheryl Smith"/>
    <s v="Portsmouth"/>
    <x v="21"/>
    <x v="1"/>
    <s v="Low"/>
    <d v="2023-09-01T00:00:00"/>
    <n v="6"/>
    <n v="380.30251049999998"/>
    <n v="2281.815063"/>
    <x v="3"/>
    <x v="3"/>
    <n v="3"/>
  </r>
  <r>
    <n v="5621422"/>
    <n v="88053"/>
    <s v="Laura Castillo"/>
    <s v="Portsmouth"/>
    <x v="40"/>
    <x v="1"/>
    <s v="High"/>
    <d v="2023-07-29T00:00:00"/>
    <n v="7"/>
    <n v="325.64255009999999"/>
    <n v="2279.4978510000001"/>
    <x v="3"/>
    <x v="2"/>
    <n v="1"/>
  </r>
  <r>
    <n v="1895008"/>
    <n v="77277"/>
    <s v="Nathan Nelson"/>
    <s v="Portsmouth"/>
    <x v="27"/>
    <x v="1"/>
    <s v="Low"/>
    <d v="2023-08-27T00:00:00"/>
    <n v="9"/>
    <n v="253.10019779999999"/>
    <n v="2277.9017800000001"/>
    <x v="2"/>
    <x v="9"/>
    <n v="1"/>
  </r>
  <r>
    <n v="5849110"/>
    <n v="43816"/>
    <s v="Lacey Gray"/>
    <s v="Portsmouth"/>
    <x v="22"/>
    <x v="0"/>
    <s v="Low"/>
    <d v="2023-08-12T00:00:00"/>
    <n v="8"/>
    <n v="283.26600079999997"/>
    <n v="2266.1280059999999"/>
    <x v="1"/>
    <x v="22"/>
    <n v="3"/>
  </r>
  <r>
    <n v="9363644"/>
    <n v="89992"/>
    <s v="Leah Wilcox"/>
    <s v="Portsmouth"/>
    <x v="41"/>
    <x v="1"/>
    <s v="Medium"/>
    <d v="2023-12-12T00:00:00"/>
    <n v="6"/>
    <n v="371.98932630000002"/>
    <n v="2231.935958"/>
    <x v="3"/>
    <x v="3"/>
    <n v="3"/>
  </r>
  <r>
    <n v="8498173"/>
    <n v="84624"/>
    <s v="James Robinson"/>
    <s v="Portsmouth"/>
    <x v="42"/>
    <x v="1"/>
    <s v="High"/>
    <d v="2024-01-21T00:00:00"/>
    <n v="10"/>
    <n v="221.85199679999999"/>
    <n v="2218.5199680000001"/>
    <x v="1"/>
    <x v="20"/>
    <n v="5"/>
  </r>
  <r>
    <n v="1089259"/>
    <n v="21399"/>
    <s v="Mario Smith"/>
    <s v="Portsmouth"/>
    <x v="36"/>
    <x v="1"/>
    <s v="High"/>
    <d v="2023-03-16T00:00:00"/>
    <n v="7"/>
    <n v="315.62886709999998"/>
    <n v="2209.4020700000001"/>
    <x v="4"/>
    <x v="7"/>
    <n v="5"/>
  </r>
  <r>
    <n v="1283620"/>
    <n v="82346"/>
    <s v="Kathleen Stephens"/>
    <s v="Portsmouth"/>
    <x v="43"/>
    <x v="1"/>
    <s v="Medium"/>
    <d v="2023-04-18T00:00:00"/>
    <n v="5"/>
    <n v="440.85121450000003"/>
    <n v="2204.256073"/>
    <x v="1"/>
    <x v="9"/>
    <n v="4"/>
  </r>
  <r>
    <n v="7433237"/>
    <n v="78960"/>
    <s v="Kyle Odom"/>
    <s v="Portsmouth"/>
    <x v="36"/>
    <x v="0"/>
    <s v="Medium"/>
    <d v="2023-05-30T00:00:00"/>
    <n v="5"/>
    <n v="435.26270460000001"/>
    <n v="2176.3135229999998"/>
    <x v="2"/>
    <x v="1"/>
    <n v="4"/>
  </r>
  <r>
    <n v="4435221"/>
    <n v="73668"/>
    <s v="John Carpenter"/>
    <s v="Portsmouth"/>
    <x v="44"/>
    <x v="1"/>
    <s v="Low"/>
    <d v="2023-05-17T00:00:00"/>
    <n v="5"/>
    <n v="435.10538000000003"/>
    <n v="2175.5268999999998"/>
    <x v="1"/>
    <x v="11"/>
    <n v="4"/>
  </r>
  <r>
    <n v="6025565"/>
    <n v="28353"/>
    <s v="Dalton Johnson"/>
    <s v="Portsmouth"/>
    <x v="41"/>
    <x v="0"/>
    <s v="Low"/>
    <d v="2023-08-04T00:00:00"/>
    <n v="5"/>
    <n v="432.78808190000001"/>
    <n v="2163.9404100000002"/>
    <x v="0"/>
    <x v="4"/>
    <n v="4"/>
  </r>
  <r>
    <n v="5090778"/>
    <n v="88539"/>
    <s v="Anne Andrews"/>
    <s v="Portsmouth"/>
    <x v="23"/>
    <x v="1"/>
    <s v="Low"/>
    <d v="2023-10-05T00:00:00"/>
    <n v="6"/>
    <n v="357.98491619999999"/>
    <n v="2147.9094970000001"/>
    <x v="4"/>
    <x v="2"/>
    <n v="2"/>
  </r>
  <r>
    <n v="2691054"/>
    <n v="51655"/>
    <s v="Amy Marsh"/>
    <s v="Portsmouth"/>
    <x v="19"/>
    <x v="0"/>
    <s v="Medium"/>
    <d v="2023-10-21T00:00:00"/>
    <n v="6"/>
    <n v="357.67239219999999"/>
    <n v="2146.034353"/>
    <x v="1"/>
    <x v="2"/>
    <n v="1"/>
  </r>
  <r>
    <n v="6908483"/>
    <n v="44073"/>
    <s v="David James"/>
    <s v="Portsmouth"/>
    <x v="20"/>
    <x v="0"/>
    <s v="Medium"/>
    <d v="2023-03-27T00:00:00"/>
    <n v="8"/>
    <n v="267.80206620000001"/>
    <n v="2142.41653"/>
    <x v="4"/>
    <x v="21"/>
    <n v="1"/>
  </r>
  <r>
    <n v="2060840"/>
    <n v="28588"/>
    <s v="David Colon"/>
    <s v="Portsmouth"/>
    <x v="41"/>
    <x v="1"/>
    <s v="Low"/>
    <d v="2023-08-25T00:00:00"/>
    <n v="7"/>
    <n v="304.87019700000002"/>
    <n v="2134.091379"/>
    <x v="3"/>
    <x v="17"/>
    <n v="3"/>
  </r>
  <r>
    <n v="6925817"/>
    <n v="85291"/>
    <s v="Scott Porter"/>
    <s v="Portsmouth"/>
    <x v="5"/>
    <x v="0"/>
    <s v="Low"/>
    <d v="2023-10-18T00:00:00"/>
    <n v="6"/>
    <n v="348.00310869999998"/>
    <n v="2088.0186520000002"/>
    <x v="1"/>
    <x v="18"/>
    <n v="4"/>
  </r>
  <r>
    <n v="3338656"/>
    <n v="21397"/>
    <s v="Shelley Tran"/>
    <s v="Portsmouth"/>
    <x v="41"/>
    <x v="0"/>
    <s v="Medium"/>
    <d v="2024-01-31T00:00:00"/>
    <n v="10"/>
    <n v="207.9377672"/>
    <n v="2079.3776720000001"/>
    <x v="1"/>
    <x v="22"/>
    <n v="2"/>
  </r>
  <r>
    <n v="7775388"/>
    <n v="91698"/>
    <s v="Terry Gaines"/>
    <s v="Portsmouth"/>
    <x v="32"/>
    <x v="0"/>
    <s v="Low"/>
    <d v="2024-02-28T00:00:00"/>
    <n v="5"/>
    <n v="411.43555429999998"/>
    <n v="2057.1777710000001"/>
    <x v="4"/>
    <x v="19"/>
    <n v="1"/>
  </r>
  <r>
    <n v="5820774"/>
    <n v="46908"/>
    <s v="Kimberly Jordan"/>
    <s v="Portsmouth"/>
    <x v="45"/>
    <x v="1"/>
    <s v="Medium"/>
    <d v="2023-10-14T00:00:00"/>
    <n v="5"/>
    <n v="402.11543949999998"/>
    <n v="2010.577198"/>
    <x v="4"/>
    <x v="3"/>
    <n v="4"/>
  </r>
  <r>
    <n v="3902930"/>
    <n v="77572"/>
    <s v="Jose Spencer"/>
    <s v="Portsmouth"/>
    <x v="17"/>
    <x v="0"/>
    <s v="High"/>
    <d v="2023-10-06T00:00:00"/>
    <n v="6"/>
    <n v="334.16569829999997"/>
    <n v="2004.9941899999999"/>
    <x v="4"/>
    <x v="24"/>
    <n v="1"/>
  </r>
  <r>
    <n v="8991228"/>
    <n v="42624"/>
    <s v="Joshua Chang"/>
    <s v="Portsmouth"/>
    <x v="34"/>
    <x v="1"/>
    <s v="Low"/>
    <d v="2023-08-02T00:00:00"/>
    <n v="6"/>
    <n v="332.42816449999998"/>
    <n v="1994.5689870000001"/>
    <x v="0"/>
    <x v="22"/>
    <n v="1"/>
  </r>
  <r>
    <n v="9528651"/>
    <n v="70193"/>
    <s v="Alexis Carlson"/>
    <s v="Portsmouth"/>
    <x v="6"/>
    <x v="0"/>
    <s v="Medium"/>
    <d v="2023-09-06T00:00:00"/>
    <n v="4"/>
    <n v="491.17579999999998"/>
    <n v="1964.7031999999999"/>
    <x v="1"/>
    <x v="10"/>
    <n v="2"/>
  </r>
  <r>
    <n v="1823051"/>
    <n v="48512"/>
    <s v="Crystal Edwards"/>
    <s v="Portsmouth"/>
    <x v="46"/>
    <x v="0"/>
    <s v="Low"/>
    <d v="2023-09-06T00:00:00"/>
    <n v="4"/>
    <n v="488.02867379999998"/>
    <n v="1952.114695"/>
    <x v="3"/>
    <x v="2"/>
    <n v="4"/>
  </r>
  <r>
    <n v="6471367"/>
    <n v="13265"/>
    <s v="Victoria Mclaughlin"/>
    <s v="Portsmouth"/>
    <x v="47"/>
    <x v="0"/>
    <s v="Medium"/>
    <d v="2023-09-20T00:00:00"/>
    <n v="10"/>
    <n v="192.7124359"/>
    <n v="1927.1243589999999"/>
    <x v="2"/>
    <x v="18"/>
    <n v="4"/>
  </r>
  <r>
    <n v="3143821"/>
    <n v="64636"/>
    <s v="Kelly Molina"/>
    <s v="Portsmouth"/>
    <x v="26"/>
    <x v="1"/>
    <s v="High"/>
    <d v="2024-01-26T00:00:00"/>
    <n v="8"/>
    <n v="240.4722572"/>
    <n v="1923.7780580000001"/>
    <x v="3"/>
    <x v="19"/>
    <n v="2"/>
  </r>
  <r>
    <n v="7379891"/>
    <n v="47846"/>
    <s v="Mary Kim"/>
    <s v="Portsmouth"/>
    <x v="48"/>
    <x v="1"/>
    <s v="Low"/>
    <d v="2023-06-24T00:00:00"/>
    <n v="4"/>
    <n v="478.10916200000003"/>
    <n v="1912.4366480000001"/>
    <x v="0"/>
    <x v="4"/>
    <n v="0"/>
  </r>
  <r>
    <n v="6236187"/>
    <n v="82677"/>
    <s v="Marissa Barnett"/>
    <s v="Portsmouth"/>
    <x v="29"/>
    <x v="1"/>
    <s v="High"/>
    <d v="2023-03-23T00:00:00"/>
    <n v="5"/>
    <n v="377.35926899999998"/>
    <n v="1886.796345"/>
    <x v="2"/>
    <x v="9"/>
    <n v="2"/>
  </r>
  <r>
    <n v="1685588"/>
    <n v="70655"/>
    <s v="Renee Banks"/>
    <s v="Portsmouth"/>
    <x v="49"/>
    <x v="1"/>
    <s v="Medium"/>
    <d v="2023-08-25T00:00:00"/>
    <n v="4"/>
    <n v="466.22066000000001"/>
    <n v="1864.88264"/>
    <x v="4"/>
    <x v="3"/>
    <n v="5"/>
  </r>
  <r>
    <n v="1515461"/>
    <n v="90915"/>
    <s v="Nancy Mcintyre"/>
    <s v="Portsmouth"/>
    <x v="29"/>
    <x v="1"/>
    <s v="Medium"/>
    <d v="2023-05-10T00:00:00"/>
    <n v="6"/>
    <n v="309.843999"/>
    <n v="1859.0639940000001"/>
    <x v="4"/>
    <x v="6"/>
    <n v="1"/>
  </r>
  <r>
    <n v="9696802"/>
    <n v="64755"/>
    <s v="Natasha Carroll"/>
    <s v="Portsmouth"/>
    <x v="41"/>
    <x v="1"/>
    <s v="Low"/>
    <d v="2023-12-31T00:00:00"/>
    <n v="8"/>
    <n v="232.16704960000001"/>
    <n v="1857.336397"/>
    <x v="4"/>
    <x v="17"/>
    <n v="5"/>
  </r>
  <r>
    <n v="5670981"/>
    <n v="36084"/>
    <s v="Heather Johnson"/>
    <s v="Portsmouth"/>
    <x v="35"/>
    <x v="1"/>
    <s v="Low"/>
    <d v="2023-06-26T00:00:00"/>
    <n v="9"/>
    <n v="205.52504350000001"/>
    <n v="1849.7253920000001"/>
    <x v="3"/>
    <x v="2"/>
    <n v="1"/>
  </r>
  <r>
    <n v="7513061"/>
    <n v="84643"/>
    <s v="Daniel Kelley"/>
    <s v="Portsmouth"/>
    <x v="1"/>
    <x v="1"/>
    <s v="Medium"/>
    <d v="2023-03-13T00:00:00"/>
    <n v="5"/>
    <n v="367.98365919999998"/>
    <n v="1839.9182960000001"/>
    <x v="3"/>
    <x v="20"/>
    <n v="3"/>
  </r>
  <r>
    <n v="9871668"/>
    <n v="28591"/>
    <s v="Theresa Diaz"/>
    <s v="Portsmouth"/>
    <x v="10"/>
    <x v="1"/>
    <s v="Medium"/>
    <d v="2023-04-18T00:00:00"/>
    <n v="7"/>
    <n v="261.86879210000001"/>
    <n v="1833.081545"/>
    <x v="0"/>
    <x v="12"/>
    <n v="3"/>
  </r>
  <r>
    <n v="6126111"/>
    <n v="63629"/>
    <s v="Mary Lawson"/>
    <s v="Portsmouth"/>
    <x v="38"/>
    <x v="0"/>
    <s v="Low"/>
    <d v="2023-03-23T00:00:00"/>
    <n v="9"/>
    <n v="202.60930110000001"/>
    <n v="1823.48371"/>
    <x v="1"/>
    <x v="24"/>
    <n v="1"/>
  </r>
  <r>
    <n v="9302527"/>
    <n v="49047"/>
    <s v="Lori Nelson"/>
    <s v="Portsmouth"/>
    <x v="15"/>
    <x v="1"/>
    <s v="Medium"/>
    <d v="2023-09-03T00:00:00"/>
    <n v="7"/>
    <n v="258.43806999999998"/>
    <n v="1809.0664899999999"/>
    <x v="3"/>
    <x v="29"/>
    <n v="1"/>
  </r>
  <r>
    <n v="9316466"/>
    <n v="17098"/>
    <s v="Jeff Little"/>
    <s v="Portsmouth"/>
    <x v="27"/>
    <x v="0"/>
    <s v="High"/>
    <d v="2024-01-12T00:00:00"/>
    <n v="8"/>
    <n v="223.99913140000001"/>
    <n v="1791.9930509999999"/>
    <x v="2"/>
    <x v="15"/>
    <n v="2"/>
  </r>
  <r>
    <n v="2401331"/>
    <n v="98300"/>
    <s v="Andrew Guzman"/>
    <s v="Portsmouth"/>
    <x v="34"/>
    <x v="0"/>
    <s v="High"/>
    <d v="2023-11-18T00:00:00"/>
    <n v="6"/>
    <n v="297.72603909999998"/>
    <n v="1786.356235"/>
    <x v="3"/>
    <x v="17"/>
    <n v="1"/>
  </r>
  <r>
    <n v="7872782"/>
    <n v="85089"/>
    <s v="Charles Willis"/>
    <s v="Portsmouth"/>
    <x v="45"/>
    <x v="1"/>
    <s v="Medium"/>
    <d v="2023-09-07T00:00:00"/>
    <n v="4"/>
    <n v="444.90035189999998"/>
    <n v="1779.601408"/>
    <x v="2"/>
    <x v="24"/>
    <n v="3"/>
  </r>
  <r>
    <n v="6219631"/>
    <n v="26736"/>
    <s v="Danielle May"/>
    <s v="Portsmouth"/>
    <x v="18"/>
    <x v="0"/>
    <s v="Medium"/>
    <d v="2023-08-30T00:00:00"/>
    <n v="8"/>
    <n v="221.5377905"/>
    <n v="1772.302324"/>
    <x v="3"/>
    <x v="0"/>
    <n v="4"/>
  </r>
  <r>
    <n v="2869376"/>
    <n v="95670"/>
    <s v="Heather Bailey"/>
    <s v="Portsmouth"/>
    <x v="35"/>
    <x v="1"/>
    <s v="Low"/>
    <d v="2023-12-28T00:00:00"/>
    <n v="7"/>
    <n v="251.94317699999999"/>
    <n v="1763.6022390000001"/>
    <x v="0"/>
    <x v="18"/>
    <n v="2"/>
  </r>
  <r>
    <n v="4554224"/>
    <n v="71298"/>
    <s v="Alicia Brown"/>
    <s v="Portsmouth"/>
    <x v="8"/>
    <x v="1"/>
    <s v="Medium"/>
    <d v="2023-03-21T00:00:00"/>
    <n v="7"/>
    <n v="247.76890940000001"/>
    <n v="1734.382366"/>
    <x v="1"/>
    <x v="6"/>
    <n v="5"/>
  </r>
  <r>
    <n v="7943755"/>
    <n v="43434"/>
    <s v="Nancy Smith"/>
    <s v="Portsmouth"/>
    <x v="12"/>
    <x v="1"/>
    <s v="Low"/>
    <d v="2023-10-25T00:00:00"/>
    <n v="5"/>
    <n v="346.22579459999997"/>
    <n v="1731.1289730000001"/>
    <x v="3"/>
    <x v="20"/>
    <n v="4"/>
  </r>
  <r>
    <n v="1209755"/>
    <n v="26917"/>
    <s v="Monica Santiago"/>
    <s v="Portsmouth"/>
    <x v="33"/>
    <x v="0"/>
    <s v="Medium"/>
    <d v="2023-05-03T00:00:00"/>
    <n v="6"/>
    <n v="286.59081379999998"/>
    <n v="1719.544883"/>
    <x v="0"/>
    <x v="4"/>
    <n v="5"/>
  </r>
  <r>
    <n v="3657578"/>
    <n v="98004"/>
    <s v="Robert Porter"/>
    <s v="Portsmouth"/>
    <x v="47"/>
    <x v="1"/>
    <s v="High"/>
    <d v="2023-03-08T00:00:00"/>
    <n v="7"/>
    <n v="243.8367825"/>
    <n v="1706.857477"/>
    <x v="3"/>
    <x v="5"/>
    <n v="2"/>
  </r>
  <r>
    <n v="5224569"/>
    <n v="80072"/>
    <s v="Danielle Hopkins"/>
    <s v="Portsmouth"/>
    <x v="38"/>
    <x v="0"/>
    <s v="Medium"/>
    <d v="2023-05-13T00:00:00"/>
    <n v="8"/>
    <n v="213.1090949"/>
    <n v="1704.87276"/>
    <x v="3"/>
    <x v="3"/>
    <n v="2"/>
  </r>
  <r>
    <n v="4205944"/>
    <n v="82024"/>
    <s v="David Rowe"/>
    <s v="Portsmouth"/>
    <x v="42"/>
    <x v="0"/>
    <s v="Low"/>
    <d v="2023-07-17T00:00:00"/>
    <n v="6"/>
    <n v="281.47719510000002"/>
    <n v="1688.8631700000001"/>
    <x v="4"/>
    <x v="4"/>
    <n v="2"/>
  </r>
  <r>
    <n v="8388105"/>
    <n v="55182"/>
    <s v="Timothy Rodriguez DVM"/>
    <s v="Portsmouth"/>
    <x v="3"/>
    <x v="0"/>
    <s v="Low"/>
    <d v="2023-09-06T00:00:00"/>
    <n v="7"/>
    <n v="240.77017420000001"/>
    <n v="1685.39122"/>
    <x v="2"/>
    <x v="13"/>
    <n v="4"/>
  </r>
  <r>
    <n v="8273419"/>
    <n v="34145"/>
    <s v="Matthew Brown"/>
    <s v="Portsmouth"/>
    <x v="50"/>
    <x v="1"/>
    <s v="Medium"/>
    <d v="2023-12-02T00:00:00"/>
    <n v="9"/>
    <n v="183.23112699999999"/>
    <n v="1649.0801429999999"/>
    <x v="1"/>
    <x v="22"/>
    <n v="1"/>
  </r>
  <r>
    <n v="6532646"/>
    <n v="22191"/>
    <s v="Jose Diaz"/>
    <s v="Portsmouth"/>
    <x v="19"/>
    <x v="0"/>
    <s v="Low"/>
    <d v="2023-08-06T00:00:00"/>
    <n v="9"/>
    <n v="182.40976219999999"/>
    <n v="1641.68786"/>
    <x v="2"/>
    <x v="16"/>
    <n v="2"/>
  </r>
  <r>
    <n v="7708883"/>
    <n v="66590"/>
    <s v="Ashley Clark"/>
    <s v="Portsmouth"/>
    <x v="5"/>
    <x v="0"/>
    <s v="High"/>
    <d v="2023-11-14T00:00:00"/>
    <n v="6"/>
    <n v="273.55891930000001"/>
    <n v="1641.3535159999999"/>
    <x v="2"/>
    <x v="22"/>
    <n v="4"/>
  </r>
  <r>
    <n v="7948369"/>
    <n v="75143"/>
    <s v="Diane Stewart"/>
    <s v="Portsmouth"/>
    <x v="3"/>
    <x v="1"/>
    <s v="High"/>
    <d v="2023-05-25T00:00:00"/>
    <n v="5"/>
    <n v="327.57690250000002"/>
    <n v="1637.884513"/>
    <x v="3"/>
    <x v="26"/>
    <n v="1"/>
  </r>
  <r>
    <n v="9531502"/>
    <n v="97514"/>
    <s v="Amanda Moore DDS"/>
    <s v="Portsmouth"/>
    <x v="18"/>
    <x v="1"/>
    <s v="Medium"/>
    <d v="2023-10-03T00:00:00"/>
    <n v="5"/>
    <n v="326.97308349999997"/>
    <n v="1634.865417"/>
    <x v="0"/>
    <x v="2"/>
    <n v="5"/>
  </r>
  <r>
    <n v="9904456"/>
    <n v="26241"/>
    <s v="Jacqueline Thompson"/>
    <s v="Portsmouth"/>
    <x v="24"/>
    <x v="1"/>
    <s v="Low"/>
    <d v="2023-03-12T00:00:00"/>
    <n v="7"/>
    <n v="231.9222752"/>
    <n v="1623.4559260000001"/>
    <x v="0"/>
    <x v="12"/>
    <n v="3"/>
  </r>
  <r>
    <n v="8984831"/>
    <n v="10237"/>
    <s v="Michael Walker"/>
    <s v="Portsmouth"/>
    <x v="19"/>
    <x v="1"/>
    <s v="Medium"/>
    <d v="2023-03-22T00:00:00"/>
    <n v="4"/>
    <n v="404.8225205"/>
    <n v="1619.290082"/>
    <x v="1"/>
    <x v="27"/>
    <n v="2"/>
  </r>
  <r>
    <n v="2846832"/>
    <n v="31930"/>
    <s v="Kristine Williams"/>
    <s v="Portsmouth"/>
    <x v="28"/>
    <x v="0"/>
    <s v="Medium"/>
    <d v="2024-01-02T00:00:00"/>
    <n v="10"/>
    <n v="161.87936099999999"/>
    <n v="1618.7936099999999"/>
    <x v="0"/>
    <x v="20"/>
    <n v="1"/>
  </r>
  <r>
    <n v="2011310"/>
    <n v="75834"/>
    <s v="Cassandra Ross"/>
    <s v="Portsmouth"/>
    <x v="28"/>
    <x v="1"/>
    <s v="Low"/>
    <d v="2023-06-13T00:00:00"/>
    <n v="7"/>
    <n v="228.21422029999999"/>
    <n v="1597.499542"/>
    <x v="2"/>
    <x v="15"/>
    <n v="2"/>
  </r>
  <r>
    <n v="2491876"/>
    <n v="92174"/>
    <s v="Whitney Adams"/>
    <s v="Portsmouth"/>
    <x v="8"/>
    <x v="1"/>
    <s v="Medium"/>
    <d v="2023-05-05T00:00:00"/>
    <n v="5"/>
    <n v="318.55460540000001"/>
    <n v="1592.773027"/>
    <x v="2"/>
    <x v="26"/>
    <n v="2"/>
  </r>
  <r>
    <n v="9334981"/>
    <n v="71681"/>
    <s v="Kyle Moreno"/>
    <s v="Portsmouth"/>
    <x v="24"/>
    <x v="1"/>
    <s v="Medium"/>
    <d v="2023-09-11T00:00:00"/>
    <n v="5"/>
    <n v="318.44965889999997"/>
    <n v="1592.248294"/>
    <x v="0"/>
    <x v="17"/>
    <n v="2"/>
  </r>
  <r>
    <n v="5617367"/>
    <n v="82021"/>
    <s v="Blake Dougherty"/>
    <s v="Portsmouth"/>
    <x v="47"/>
    <x v="0"/>
    <s v="Low"/>
    <d v="2023-08-30T00:00:00"/>
    <n v="10"/>
    <n v="157.34369659999999"/>
    <n v="1573.436966"/>
    <x v="2"/>
    <x v="2"/>
    <n v="1"/>
  </r>
  <r>
    <n v="2780785"/>
    <n v="28689"/>
    <s v="Miranda York"/>
    <s v="Portsmouth"/>
    <x v="38"/>
    <x v="0"/>
    <s v="High"/>
    <d v="2023-06-02T00:00:00"/>
    <n v="8"/>
    <n v="196.3245186"/>
    <n v="1570.596149"/>
    <x v="1"/>
    <x v="9"/>
    <n v="1"/>
  </r>
  <r>
    <n v="9596556"/>
    <n v="36083"/>
    <s v="Fred Whitaker"/>
    <s v="Portsmouth"/>
    <x v="50"/>
    <x v="0"/>
    <s v="Medium"/>
    <d v="2023-03-16T00:00:00"/>
    <n v="7"/>
    <n v="222.91311350000001"/>
    <n v="1560.3917939999999"/>
    <x v="3"/>
    <x v="18"/>
    <n v="5"/>
  </r>
  <r>
    <n v="5670261"/>
    <n v="14341"/>
    <s v="Gabriella Frazier"/>
    <s v="Portsmouth"/>
    <x v="36"/>
    <x v="0"/>
    <s v="Low"/>
    <d v="2023-07-13T00:00:00"/>
    <n v="4"/>
    <n v="389.85740249999998"/>
    <n v="1559.4296099999999"/>
    <x v="2"/>
    <x v="24"/>
    <n v="4"/>
  </r>
  <r>
    <n v="5514598"/>
    <n v="38195"/>
    <s v="Laura Williams"/>
    <s v="Portsmouth"/>
    <x v="46"/>
    <x v="1"/>
    <s v="Medium"/>
    <d v="2024-02-09T00:00:00"/>
    <n v="10"/>
    <n v="155.63393160000001"/>
    <n v="1556.3393160000001"/>
    <x v="4"/>
    <x v="26"/>
    <n v="2"/>
  </r>
  <r>
    <n v="3258024"/>
    <n v="92619"/>
    <s v="Alex Medina"/>
    <s v="Portsmouth"/>
    <x v="18"/>
    <x v="1"/>
    <s v="High"/>
    <d v="2023-09-02T00:00:00"/>
    <n v="5"/>
    <n v="311.07746689999999"/>
    <n v="1555.387334"/>
    <x v="4"/>
    <x v="16"/>
    <n v="3"/>
  </r>
  <r>
    <n v="2973546"/>
    <n v="63588"/>
    <s v="Hector Hampton"/>
    <s v="Portsmouth"/>
    <x v="47"/>
    <x v="0"/>
    <s v="Low"/>
    <d v="2023-10-14T00:00:00"/>
    <n v="4"/>
    <n v="388.21224990000002"/>
    <n v="1552.848999"/>
    <x v="3"/>
    <x v="15"/>
    <n v="3"/>
  </r>
  <r>
    <n v="3830823"/>
    <n v="76742"/>
    <s v="Matthew Holland"/>
    <s v="Portsmouth"/>
    <x v="36"/>
    <x v="0"/>
    <s v="Medium"/>
    <d v="2024-02-29T00:00:00"/>
    <n v="4"/>
    <n v="385.82724200000001"/>
    <n v="1543.308968"/>
    <x v="0"/>
    <x v="2"/>
    <n v="1"/>
  </r>
  <r>
    <n v="4213879"/>
    <n v="30165"/>
    <s v="Sean Woods"/>
    <s v="Portsmouth"/>
    <x v="37"/>
    <x v="1"/>
    <s v="High"/>
    <d v="2023-03-05T00:00:00"/>
    <n v="4"/>
    <n v="381.7902661"/>
    <n v="1527.1610639999999"/>
    <x v="1"/>
    <x v="9"/>
    <n v="4"/>
  </r>
  <r>
    <n v="5943482"/>
    <n v="31054"/>
    <s v="Judy Green"/>
    <s v="Portsmouth"/>
    <x v="28"/>
    <x v="0"/>
    <s v="Medium"/>
    <d v="2023-12-15T00:00:00"/>
    <n v="9"/>
    <n v="167.73378539999999"/>
    <n v="1509.6040680000001"/>
    <x v="4"/>
    <x v="22"/>
    <n v="3"/>
  </r>
  <r>
    <n v="2798736"/>
    <n v="29257"/>
    <s v="Charlene Chambers"/>
    <s v="Portsmouth"/>
    <x v="48"/>
    <x v="0"/>
    <s v="Medium"/>
    <d v="2023-09-15T00:00:00"/>
    <n v="8"/>
    <n v="186.1900665"/>
    <n v="1489.520532"/>
    <x v="1"/>
    <x v="20"/>
    <n v="2"/>
  </r>
  <r>
    <n v="9169342"/>
    <n v="40091"/>
    <s v="Cory Montgomery"/>
    <s v="Portsmouth"/>
    <x v="45"/>
    <x v="1"/>
    <s v="Medium"/>
    <d v="2023-12-03T00:00:00"/>
    <n v="6"/>
    <n v="248.07918050000001"/>
    <n v="1488.475083"/>
    <x v="0"/>
    <x v="3"/>
    <n v="1"/>
  </r>
  <r>
    <n v="6989571"/>
    <n v="25041"/>
    <s v="Allison Wright"/>
    <s v="Portsmouth"/>
    <x v="51"/>
    <x v="0"/>
    <s v="High"/>
    <d v="2023-04-04T00:00:00"/>
    <n v="7"/>
    <n v="211.74806340000001"/>
    <n v="1482.2364439999999"/>
    <x v="1"/>
    <x v="19"/>
    <n v="5"/>
  </r>
  <r>
    <n v="6650415"/>
    <n v="98788"/>
    <s v="Zachary Smith"/>
    <s v="Portsmouth"/>
    <x v="8"/>
    <x v="1"/>
    <s v="Medium"/>
    <d v="2023-09-03T00:00:00"/>
    <n v="10"/>
    <n v="147.88453580000001"/>
    <n v="1478.845358"/>
    <x v="4"/>
    <x v="3"/>
    <n v="2"/>
  </r>
  <r>
    <n v="5480322"/>
    <n v="72352"/>
    <s v="Connie Hill"/>
    <s v="Portsmouth"/>
    <x v="0"/>
    <x v="0"/>
    <s v="Medium"/>
    <d v="2023-12-23T00:00:00"/>
    <n v="3"/>
    <n v="492.45287569999999"/>
    <n v="1477.3586270000001"/>
    <x v="2"/>
    <x v="20"/>
    <n v="5"/>
  </r>
  <r>
    <n v="3134820"/>
    <n v="13629"/>
    <s v="Erica Humphrey"/>
    <s v="Portsmouth"/>
    <x v="42"/>
    <x v="1"/>
    <s v="Medium"/>
    <d v="2023-09-14T00:00:00"/>
    <n v="5"/>
    <n v="291.43283730000002"/>
    <n v="1457.1641870000001"/>
    <x v="4"/>
    <x v="7"/>
    <n v="4"/>
  </r>
  <r>
    <n v="7311153"/>
    <n v="95391"/>
    <s v="Brandy Dyer"/>
    <s v="Portsmouth"/>
    <x v="19"/>
    <x v="1"/>
    <s v="Low"/>
    <d v="2023-11-25T00:00:00"/>
    <n v="7"/>
    <n v="207.84395810000001"/>
    <n v="1454.9077070000001"/>
    <x v="0"/>
    <x v="20"/>
    <n v="2"/>
  </r>
  <r>
    <n v="4579663"/>
    <n v="31767"/>
    <s v="Brittany Ross"/>
    <s v="Portsmouth"/>
    <x v="15"/>
    <x v="1"/>
    <s v="High"/>
    <d v="2024-02-16T00:00:00"/>
    <n v="9"/>
    <n v="161.3873342"/>
    <n v="1452.4860080000001"/>
    <x v="3"/>
    <x v="1"/>
    <n v="4"/>
  </r>
  <r>
    <n v="1874788"/>
    <n v="74649"/>
    <s v="Courtney Perry"/>
    <s v="Portsmouth"/>
    <x v="44"/>
    <x v="1"/>
    <s v="High"/>
    <d v="2023-04-19T00:00:00"/>
    <n v="5"/>
    <n v="289.11678280000001"/>
    <n v="1445.583914"/>
    <x v="2"/>
    <x v="18"/>
    <n v="2"/>
  </r>
  <r>
    <n v="2873384"/>
    <n v="55388"/>
    <s v="Yolanda Martin"/>
    <s v="Portsmouth"/>
    <x v="11"/>
    <x v="1"/>
    <s v="Medium"/>
    <d v="2023-06-21T00:00:00"/>
    <n v="6"/>
    <n v="240.22818860000001"/>
    <n v="1441.369132"/>
    <x v="3"/>
    <x v="4"/>
    <n v="3"/>
  </r>
  <r>
    <n v="8130970"/>
    <n v="13793"/>
    <s v="Marie Robinson"/>
    <s v="Portsmouth"/>
    <x v="35"/>
    <x v="1"/>
    <s v="Medium"/>
    <d v="2023-07-22T00:00:00"/>
    <n v="4"/>
    <n v="359.45480959999998"/>
    <n v="1437.8192389999999"/>
    <x v="3"/>
    <x v="17"/>
    <n v="1"/>
  </r>
  <r>
    <n v="8171449"/>
    <n v="14663"/>
    <s v="Ryan Paul"/>
    <s v="Portsmouth"/>
    <x v="33"/>
    <x v="1"/>
    <s v="High"/>
    <d v="2023-09-04T00:00:00"/>
    <n v="3"/>
    <n v="479.11986630000001"/>
    <n v="1437.3595989999999"/>
    <x v="2"/>
    <x v="15"/>
    <n v="1"/>
  </r>
  <r>
    <n v="7637365"/>
    <n v="23631"/>
    <s v="Rita Ruiz MD"/>
    <s v="Portsmouth"/>
    <x v="42"/>
    <x v="2"/>
    <s v="Medium"/>
    <d v="2024-02-29T00:00:00"/>
    <n v="9"/>
    <n v="159.507104"/>
    <n v="1435.563936"/>
    <x v="1"/>
    <x v="15"/>
    <n v="5"/>
  </r>
  <r>
    <n v="9749364"/>
    <n v="75652"/>
    <s v="Marissa Nguyen"/>
    <s v="Portsmouth"/>
    <x v="43"/>
    <x v="0"/>
    <s v="Low"/>
    <d v="2023-06-22T00:00:00"/>
    <n v="5"/>
    <n v="285.90947790000001"/>
    <n v="1429.5473890000001"/>
    <x v="2"/>
    <x v="19"/>
    <n v="5"/>
  </r>
  <r>
    <n v="9185879"/>
    <n v="10010"/>
    <s v="Ryan Smith"/>
    <s v="Portsmouth"/>
    <x v="34"/>
    <x v="0"/>
    <s v="Low"/>
    <d v="2023-09-24T00:00:00"/>
    <n v="8"/>
    <n v="178.6646437"/>
    <n v="1429.3171500000001"/>
    <x v="2"/>
    <x v="11"/>
    <n v="4"/>
  </r>
  <r>
    <n v="4081468"/>
    <n v="57471"/>
    <s v="Rebecca Jones"/>
    <s v="Portsmouth"/>
    <x v="48"/>
    <x v="0"/>
    <s v="High"/>
    <d v="2023-12-05T00:00:00"/>
    <n v="10"/>
    <n v="142.11121399999999"/>
    <n v="1421.11214"/>
    <x v="4"/>
    <x v="19"/>
    <n v="2"/>
  </r>
  <r>
    <n v="6856042"/>
    <n v="97487"/>
    <s v="Joshua Brown"/>
    <s v="Portsmouth"/>
    <x v="14"/>
    <x v="1"/>
    <s v="Low"/>
    <d v="2023-06-28T00:00:00"/>
    <n v="3"/>
    <n v="472.62645850000001"/>
    <n v="1417.8793760000001"/>
    <x v="0"/>
    <x v="20"/>
    <n v="3"/>
  </r>
  <r>
    <n v="7172567"/>
    <n v="88816"/>
    <s v="Michael Ramirez"/>
    <s v="Portsmouth"/>
    <x v="31"/>
    <x v="0"/>
    <s v="Low"/>
    <d v="2023-09-03T00:00:00"/>
    <n v="5"/>
    <n v="282.31417720000002"/>
    <n v="1411.570886"/>
    <x v="2"/>
    <x v="11"/>
    <n v="5"/>
  </r>
  <r>
    <n v="8453854"/>
    <n v="63858"/>
    <s v="Michael Tyler"/>
    <s v="Portsmouth"/>
    <x v="19"/>
    <x v="1"/>
    <s v="Medium"/>
    <d v="2023-05-12T00:00:00"/>
    <n v="3"/>
    <n v="468.57518370000003"/>
    <n v="1405.725551"/>
    <x v="0"/>
    <x v="17"/>
    <n v="5"/>
  </r>
  <r>
    <n v="7999142"/>
    <n v="88381"/>
    <s v="Chelsea Leonard"/>
    <s v="Portsmouth"/>
    <x v="36"/>
    <x v="0"/>
    <s v="Low"/>
    <d v="2023-06-12T00:00:00"/>
    <n v="5"/>
    <n v="278.98508479999998"/>
    <n v="1394.925424"/>
    <x v="4"/>
    <x v="6"/>
    <n v="1"/>
  </r>
  <r>
    <n v="3690467"/>
    <n v="62308"/>
    <s v="Jillian Harrison"/>
    <s v="Portsmouth"/>
    <x v="44"/>
    <x v="0"/>
    <s v="High"/>
    <d v="2023-08-19T00:00:00"/>
    <n v="3"/>
    <n v="464.45567790000001"/>
    <n v="1393.3670340000001"/>
    <x v="1"/>
    <x v="14"/>
    <n v="1"/>
  </r>
  <r>
    <n v="4893754"/>
    <n v="99058"/>
    <s v="Jason Gentry"/>
    <s v="Portsmouth"/>
    <x v="48"/>
    <x v="0"/>
    <s v="Low"/>
    <d v="2023-03-07T00:00:00"/>
    <n v="6"/>
    <n v="231.5138445"/>
    <n v="1389.083067"/>
    <x v="0"/>
    <x v="26"/>
    <n v="5"/>
  </r>
  <r>
    <n v="4177207"/>
    <n v="34843"/>
    <s v="John Payne"/>
    <s v="Portsmouth"/>
    <x v="34"/>
    <x v="1"/>
    <s v="Low"/>
    <d v="2023-07-10T00:00:00"/>
    <n v="4"/>
    <n v="343.7173143"/>
    <n v="1374.8692570000001"/>
    <x v="2"/>
    <x v="15"/>
    <n v="4"/>
  </r>
  <r>
    <n v="7961588"/>
    <n v="68375"/>
    <s v="Savannah Casey"/>
    <s v="Portsmouth"/>
    <x v="14"/>
    <x v="1"/>
    <s v="Medium"/>
    <d v="2023-09-15T00:00:00"/>
    <n v="3"/>
    <n v="458.1763995"/>
    <n v="1374.529198"/>
    <x v="2"/>
    <x v="25"/>
    <n v="4"/>
  </r>
  <r>
    <n v="8336265"/>
    <n v="13081"/>
    <s v="Carolyn Johnson"/>
    <s v="Portsmouth"/>
    <x v="8"/>
    <x v="0"/>
    <s v="Medium"/>
    <d v="2024-01-31T00:00:00"/>
    <n v="7"/>
    <n v="196.2180008"/>
    <n v="1373.5260060000001"/>
    <x v="2"/>
    <x v="28"/>
    <n v="1"/>
  </r>
  <r>
    <n v="1944115"/>
    <n v="36536"/>
    <s v="Jose Velez"/>
    <s v="Portsmouth"/>
    <x v="47"/>
    <x v="1"/>
    <s v="Low"/>
    <d v="2023-03-08T00:00:00"/>
    <n v="9"/>
    <n v="148.4692804"/>
    <n v="1336.223524"/>
    <x v="0"/>
    <x v="26"/>
    <n v="5"/>
  </r>
  <r>
    <n v="6675960"/>
    <n v="60597"/>
    <s v="Chad Cruz"/>
    <s v="Portsmouth"/>
    <x v="9"/>
    <x v="1"/>
    <s v="High"/>
    <d v="2023-09-01T00:00:00"/>
    <n v="3"/>
    <n v="442.20173210000002"/>
    <n v="1326.605196"/>
    <x v="4"/>
    <x v="26"/>
    <n v="3"/>
  </r>
  <r>
    <n v="6011814"/>
    <n v="74001"/>
    <s v="Craig Powell"/>
    <s v="Portsmouth"/>
    <x v="20"/>
    <x v="1"/>
    <s v="Medium"/>
    <d v="2024-02-07T00:00:00"/>
    <n v="9"/>
    <n v="147.00276830000001"/>
    <n v="1323.024915"/>
    <x v="3"/>
    <x v="2"/>
    <n v="1"/>
  </r>
  <r>
    <n v="2729227"/>
    <n v="45610"/>
    <s v="Sarah Lewis"/>
    <s v="Portsmouth"/>
    <x v="41"/>
    <x v="0"/>
    <s v="Medium"/>
    <d v="2023-07-10T00:00:00"/>
    <n v="9"/>
    <n v="145.65833979999999"/>
    <n v="1310.9250589999999"/>
    <x v="0"/>
    <x v="27"/>
    <n v="2"/>
  </r>
  <r>
    <n v="9766243"/>
    <n v="41485"/>
    <s v="Kevin Reyes"/>
    <s v="Portsmouth"/>
    <x v="15"/>
    <x v="1"/>
    <s v="Low"/>
    <d v="2023-09-23T00:00:00"/>
    <n v="3"/>
    <n v="434.80285959999998"/>
    <n v="1304.4085789999999"/>
    <x v="3"/>
    <x v="12"/>
    <n v="4"/>
  </r>
  <r>
    <n v="5072217"/>
    <n v="92028"/>
    <s v="Tracy Farmer"/>
    <s v="Portsmouth"/>
    <x v="42"/>
    <x v="1"/>
    <s v="Medium"/>
    <d v="2023-06-23T00:00:00"/>
    <n v="3"/>
    <n v="433.55601830000001"/>
    <n v="1300.6680550000001"/>
    <x v="2"/>
    <x v="15"/>
    <n v="4"/>
  </r>
  <r>
    <n v="2982163"/>
    <n v="50952"/>
    <s v="Teresa Maxwell"/>
    <s v="Portsmouth"/>
    <x v="24"/>
    <x v="0"/>
    <s v="Medium"/>
    <d v="2023-03-05T00:00:00"/>
    <n v="3"/>
    <n v="427.59478369999999"/>
    <n v="1282.784351"/>
    <x v="4"/>
    <x v="8"/>
    <n v="1"/>
  </r>
  <r>
    <n v="9889077"/>
    <n v="67818"/>
    <s v="Dawn Frazier"/>
    <s v="Portsmouth"/>
    <x v="51"/>
    <x v="0"/>
    <s v="Medium"/>
    <d v="2023-04-07T00:00:00"/>
    <n v="8"/>
    <n v="160.08705230000001"/>
    <n v="1280.696418"/>
    <x v="1"/>
    <x v="12"/>
    <n v="5"/>
  </r>
  <r>
    <n v="8744927"/>
    <n v="39728"/>
    <s v="Derek Perez"/>
    <s v="Portsmouth"/>
    <x v="11"/>
    <x v="1"/>
    <s v="High"/>
    <d v="2023-07-23T00:00:00"/>
    <n v="5.1843687374749496"/>
    <n v="417.03400149999999"/>
    <n v="1251.102005"/>
    <x v="1"/>
    <x v="20"/>
    <n v="2"/>
  </r>
  <r>
    <n v="4419654"/>
    <n v="21444"/>
    <s v="Robert Perez"/>
    <s v="Portsmouth"/>
    <x v="9"/>
    <x v="1"/>
    <s v="Medium"/>
    <d v="2023-10-30T00:00:00"/>
    <n v="4"/>
    <n v="312.4280564"/>
    <n v="1249.7122260000001"/>
    <x v="3"/>
    <x v="29"/>
    <n v="1"/>
  </r>
  <r>
    <n v="7018142"/>
    <n v="67530"/>
    <s v="Mathew Fitzgerald"/>
    <s v="Portsmouth"/>
    <x v="11"/>
    <x v="1"/>
    <s v="Low"/>
    <d v="2023-08-23T00:00:00"/>
    <n v="7"/>
    <n v="178.03425110000001"/>
    <n v="1246.2397579999999"/>
    <x v="3"/>
    <x v="17"/>
    <n v="4"/>
  </r>
  <r>
    <n v="5696111"/>
    <n v="28956"/>
    <s v="Christopher Adams"/>
    <s v="Portsmouth"/>
    <x v="31"/>
    <x v="0"/>
    <s v="Low"/>
    <d v="2023-08-18T00:00:00"/>
    <n v="3"/>
    <n v="413.76251100000002"/>
    <n v="1241.2875329999999"/>
    <x v="1"/>
    <x v="9"/>
    <n v="4"/>
  </r>
  <r>
    <n v="9261762"/>
    <n v="98764"/>
    <s v="Joshua Mclean"/>
    <s v="Portsmouth"/>
    <x v="33"/>
    <x v="1"/>
    <s v="High"/>
    <d v="2023-07-02T00:00:00"/>
    <n v="4"/>
    <n v="309.96363819999999"/>
    <n v="1239.8545529999999"/>
    <x v="3"/>
    <x v="2"/>
    <n v="3"/>
  </r>
  <r>
    <n v="5313296"/>
    <n v="31512"/>
    <s v="Natalie Melton"/>
    <s v="Portsmouth"/>
    <x v="18"/>
    <x v="1"/>
    <s v="High"/>
    <d v="2023-03-03T00:00:00"/>
    <n v="3"/>
    <n v="412.75704039999999"/>
    <n v="1238.271121"/>
    <x v="4"/>
    <x v="19"/>
    <n v="4"/>
  </r>
  <r>
    <n v="6023169"/>
    <n v="64153"/>
    <s v="Joshua Hurley"/>
    <s v="Portsmouth"/>
    <x v="15"/>
    <x v="0"/>
    <s v="Medium"/>
    <d v="2023-12-19T00:00:00"/>
    <n v="6"/>
    <n v="204.40173559999999"/>
    <n v="1226.4104130000001"/>
    <x v="3"/>
    <x v="9"/>
    <n v="3"/>
  </r>
  <r>
    <n v="8117738"/>
    <n v="61206"/>
    <s v="Alexandria Gonzalez"/>
    <s v="Portsmouth"/>
    <x v="37"/>
    <x v="1"/>
    <s v="Medium"/>
    <d v="2023-11-30T00:00:00"/>
    <n v="4"/>
    <n v="304.07871940000001"/>
    <n v="1216.3148779999999"/>
    <x v="0"/>
    <x v="12"/>
    <n v="1"/>
  </r>
  <r>
    <n v="6315151"/>
    <n v="75456"/>
    <s v="Christopher Burgess"/>
    <s v="Portsmouth"/>
    <x v="6"/>
    <x v="0"/>
    <s v="High"/>
    <d v="2023-10-03T00:00:00"/>
    <n v="4"/>
    <n v="303.78986450000002"/>
    <n v="1215.1594580000001"/>
    <x v="0"/>
    <x v="21"/>
    <n v="1"/>
  </r>
  <r>
    <n v="9470637"/>
    <n v="47082"/>
    <s v="Ricky Bates"/>
    <s v="Portsmouth"/>
    <x v="45"/>
    <x v="0"/>
    <s v="Low"/>
    <d v="2023-09-08T00:00:00"/>
    <n v="7"/>
    <n v="171.51767770000001"/>
    <n v="1200.623744"/>
    <x v="1"/>
    <x v="15"/>
    <n v="2"/>
  </r>
  <r>
    <n v="8400644"/>
    <n v="33277"/>
    <s v="Michael Curtis"/>
    <s v="Portsmouth"/>
    <x v="17"/>
    <x v="1"/>
    <s v="Medium"/>
    <d v="2023-07-13T00:00:00"/>
    <n v="4"/>
    <n v="299.93041369999997"/>
    <n v="1199.7216550000001"/>
    <x v="1"/>
    <x v="11"/>
    <n v="1"/>
  </r>
  <r>
    <n v="8748941"/>
    <n v="77875"/>
    <s v="Monica Peterson"/>
    <s v="Portsmouth"/>
    <x v="48"/>
    <x v="1"/>
    <s v="Medium"/>
    <d v="2024-01-14T00:00:00"/>
    <n v="3"/>
    <n v="399.37262370000002"/>
    <n v="1198.1178709999999"/>
    <x v="0"/>
    <x v="0"/>
    <n v="3"/>
  </r>
  <r>
    <n v="2530387"/>
    <n v="82606"/>
    <s v="John Kelly"/>
    <s v="Portsmouth"/>
    <x v="15"/>
    <x v="1"/>
    <s v="Low"/>
    <d v="2023-10-18T00:00:00"/>
    <n v="5"/>
    <n v="239.54796339999999"/>
    <n v="1197.7398169999999"/>
    <x v="2"/>
    <x v="6"/>
    <n v="1"/>
  </r>
  <r>
    <n v="4530973"/>
    <n v="87673"/>
    <s v="Cheryl York"/>
    <s v="Portsmouth"/>
    <x v="43"/>
    <x v="0"/>
    <s v="Medium"/>
    <d v="2023-03-04T00:00:00"/>
    <n v="3"/>
    <n v="397.69263919999997"/>
    <n v="1193.077918"/>
    <x v="0"/>
    <x v="15"/>
    <n v="2"/>
  </r>
  <r>
    <n v="6095326"/>
    <n v="41289"/>
    <s v="Ryan Johnson"/>
    <s v="Brisbane"/>
    <x v="32"/>
    <x v="0"/>
    <s v="Medium"/>
    <d v="2023-09-21T00:00:00"/>
    <n v="4"/>
    <n v="296.29180589999999"/>
    <n v="1185.167224"/>
    <x v="0"/>
    <x v="6"/>
    <n v="4"/>
  </r>
  <r>
    <n v="4580441"/>
    <n v="12911"/>
    <s v="Chelsea Cummings"/>
    <s v="Portsmouth"/>
    <x v="50"/>
    <x v="1"/>
    <s v="High"/>
    <d v="2023-11-11T00:00:00"/>
    <n v="3"/>
    <n v="394.60626559999997"/>
    <n v="1183.8187969999999"/>
    <x v="3"/>
    <x v="18"/>
    <n v="5"/>
  </r>
  <r>
    <n v="5728582"/>
    <n v="78509"/>
    <s v="Joshua Hatfield"/>
    <s v="Portsmouth"/>
    <x v="13"/>
    <x v="0"/>
    <s v="High"/>
    <d v="2023-10-13T00:00:00"/>
    <n v="8"/>
    <n v="146.68880139999999"/>
    <n v="1173.510411"/>
    <x v="3"/>
    <x v="16"/>
    <n v="4"/>
  </r>
  <r>
    <n v="7029006"/>
    <n v="17458"/>
    <s v="Tracy Morrison"/>
    <s v="Portsmouth"/>
    <x v="29"/>
    <x v="1"/>
    <s v="Low"/>
    <d v="2023-12-13T00:00:00"/>
    <n v="5"/>
    <n v="233.61145719999999"/>
    <n v="1168.057286"/>
    <x v="0"/>
    <x v="22"/>
    <n v="4"/>
  </r>
  <r>
    <n v="9046550"/>
    <n v="33661"/>
    <s v="Susan Lester"/>
    <s v="Portsmouth"/>
    <x v="19"/>
    <x v="0"/>
    <s v="Medium"/>
    <d v="2023-09-23T00:00:00"/>
    <n v="7"/>
    <n v="164.22260259999999"/>
    <n v="1149.5582179999999"/>
    <x v="3"/>
    <x v="3"/>
    <n v="1"/>
  </r>
  <r>
    <n v="9703915"/>
    <n v="38862"/>
    <s v="Nicholas Nelson"/>
    <s v="Portsmouth"/>
    <x v="11"/>
    <x v="0"/>
    <s v="Low"/>
    <d v="2023-11-16T00:00:00"/>
    <n v="3"/>
    <n v="380.15765110000001"/>
    <n v="1140.472953"/>
    <x v="4"/>
    <x v="18"/>
    <n v="1"/>
  </r>
  <r>
    <n v="7861294"/>
    <n v="46019"/>
    <s v="Thomas Mcbride"/>
    <s v="Portsmouth"/>
    <x v="5"/>
    <x v="1"/>
    <s v="Low"/>
    <d v="2023-08-01T00:00:00"/>
    <n v="4"/>
    <n v="284.66915519999998"/>
    <n v="1138.6766210000001"/>
    <x v="0"/>
    <x v="15"/>
    <n v="1"/>
  </r>
  <r>
    <n v="1355949"/>
    <n v="21174"/>
    <s v="Brianna Williamson"/>
    <s v="Portsmouth"/>
    <x v="49"/>
    <x v="1"/>
    <s v="Low"/>
    <d v="2024-02-26T00:00:00"/>
    <n v="4"/>
    <n v="284.63939729999998"/>
    <n v="1138.557589"/>
    <x v="0"/>
    <x v="22"/>
    <n v="2"/>
  </r>
  <r>
    <n v="1761766"/>
    <n v="37351"/>
    <s v="Rachel Robinson"/>
    <s v="Portsmouth"/>
    <x v="2"/>
    <x v="1"/>
    <s v="Medium"/>
    <d v="2023-08-14T00:00:00"/>
    <n v="5"/>
    <n v="225.77159829999999"/>
    <n v="1128.8579910000001"/>
    <x v="3"/>
    <x v="22"/>
    <n v="1"/>
  </r>
  <r>
    <n v="6500202"/>
    <n v="59565"/>
    <s v="Sheila Grant"/>
    <s v="Portsmouth"/>
    <x v="35"/>
    <x v="0"/>
    <s v="Medium"/>
    <d v="2024-02-17T00:00:00"/>
    <n v="8"/>
    <n v="140.59832800000001"/>
    <n v="1124.7866240000001"/>
    <x v="4"/>
    <x v="22"/>
    <n v="5"/>
  </r>
  <r>
    <n v="7215648"/>
    <n v="85908"/>
    <s v="Kevin Mckinney"/>
    <s v="Portsmouth"/>
    <x v="38"/>
    <x v="1"/>
    <s v="High"/>
    <d v="2023-03-20T00:00:00"/>
    <n v="4"/>
    <n v="279.49403439999998"/>
    <n v="1117.976138"/>
    <x v="0"/>
    <x v="7"/>
    <n v="1"/>
  </r>
  <r>
    <n v="2766292"/>
    <n v="15015"/>
    <s v="Evan Henderson"/>
    <s v="Portsmouth"/>
    <x v="21"/>
    <x v="1"/>
    <s v="Low"/>
    <d v="2023-04-08T00:00:00"/>
    <n v="4"/>
    <n v="279.34411590000002"/>
    <n v="1117.3764639999999"/>
    <x v="1"/>
    <x v="11"/>
    <n v="2"/>
  </r>
  <r>
    <n v="9480668"/>
    <n v="52755"/>
    <s v="Alexandra Daniel"/>
    <s v="Portsmouth"/>
    <x v="49"/>
    <x v="1"/>
    <s v="Low"/>
    <d v="2023-12-29T00:00:00"/>
    <n v="5"/>
    <n v="222.40230700000001"/>
    <n v="1112.0115350000001"/>
    <x v="4"/>
    <x v="8"/>
    <n v="1"/>
  </r>
  <r>
    <n v="6965254"/>
    <n v="88395"/>
    <s v="Jeffrey Russell"/>
    <s v="Portsmouth"/>
    <x v="40"/>
    <x v="1"/>
    <s v="Medium"/>
    <d v="2023-09-10T00:00:00"/>
    <n v="4"/>
    <n v="277.5296621"/>
    <n v="1110.118649"/>
    <x v="4"/>
    <x v="4"/>
    <n v="3"/>
  </r>
  <r>
    <n v="1804470"/>
    <n v="65334"/>
    <s v="Sherri Chambers"/>
    <s v="Portsmouth"/>
    <x v="34"/>
    <x v="0"/>
    <s v="Medium"/>
    <d v="2023-11-15T00:00:00"/>
    <n v="3"/>
    <n v="367.45447890000003"/>
    <n v="1102.363437"/>
    <x v="4"/>
    <x v="1"/>
    <n v="2"/>
  </r>
  <r>
    <n v="3577079"/>
    <n v="25390"/>
    <s v="Dr. Rachel Larsen"/>
    <s v="Portsmouth"/>
    <x v="4"/>
    <x v="1"/>
    <s v="Low"/>
    <d v="2024-02-05T00:00:00"/>
    <n v="6"/>
    <n v="183.45652010000001"/>
    <n v="1100.73912"/>
    <x v="4"/>
    <x v="0"/>
    <n v="5"/>
  </r>
  <r>
    <n v="9947033"/>
    <n v="80529"/>
    <s v="Brittany Leon"/>
    <s v="Portsmouth"/>
    <x v="6"/>
    <x v="0"/>
    <s v="Medium"/>
    <d v="2023-05-04T00:00:00"/>
    <n v="9"/>
    <n v="121.9781801"/>
    <n v="1097.803621"/>
    <x v="1"/>
    <x v="14"/>
    <n v="4"/>
  </r>
  <r>
    <n v="3271164"/>
    <n v="73524"/>
    <s v="Jonathan Miller"/>
    <s v="Portsmouth"/>
    <x v="0"/>
    <x v="1"/>
    <s v="Low"/>
    <d v="2023-08-04T00:00:00"/>
    <n v="4"/>
    <n v="273.23596930000002"/>
    <n v="1092.9438769999999"/>
    <x v="0"/>
    <x v="17"/>
    <n v="3"/>
  </r>
  <r>
    <n v="8257808"/>
    <n v="99944"/>
    <s v="Teresa Brown"/>
    <s v="Portsmouth"/>
    <x v="49"/>
    <x v="0"/>
    <s v="Low"/>
    <d v="2023-12-03T00:00:00"/>
    <n v="3"/>
    <n v="363.79397299999999"/>
    <n v="1091.3819189999999"/>
    <x v="4"/>
    <x v="15"/>
    <n v="1"/>
  </r>
  <r>
    <n v="7662744"/>
    <n v="27115"/>
    <s v="John Woods"/>
    <s v="Portsmouth"/>
    <x v="46"/>
    <x v="1"/>
    <s v="Medium"/>
    <d v="2023-07-28T00:00:00"/>
    <n v="5"/>
    <n v="217.30693149999999"/>
    <n v="1086.534658"/>
    <x v="3"/>
    <x v="6"/>
    <n v="4"/>
  </r>
  <r>
    <n v="2022125"/>
    <n v="32937"/>
    <s v="Adrienne Wright"/>
    <s v="Portsmouth"/>
    <x v="38"/>
    <x v="1"/>
    <s v="Medium"/>
    <d v="2023-03-19T00:00:00"/>
    <n v="5"/>
    <n v="213.59671729999999"/>
    <n v="1067.9835869999999"/>
    <x v="3"/>
    <x v="12"/>
    <n v="4"/>
  </r>
  <r>
    <n v="6679610"/>
    <n v="30192"/>
    <s v="Scott Jensen"/>
    <s v="Geelong"/>
    <x v="42"/>
    <x v="1"/>
    <s v="Low"/>
    <d v="2023-04-26T00:00:00"/>
    <n v="3"/>
    <n v="354.47759969999998"/>
    <n v="1063.4327989999999"/>
    <x v="0"/>
    <x v="1"/>
    <n v="2"/>
  </r>
  <r>
    <n v="8919258"/>
    <n v="35222"/>
    <s v="Madeline Taylor"/>
    <s v="Portsmouth"/>
    <x v="25"/>
    <x v="0"/>
    <s v="Medium"/>
    <d v="2023-07-11T00:00:00"/>
    <n v="3"/>
    <n v="353.81714460000001"/>
    <n v="1061.4514340000001"/>
    <x v="2"/>
    <x v="20"/>
    <n v="3"/>
  </r>
  <r>
    <n v="6571685"/>
    <n v="72707"/>
    <s v="Miranda Gallagher"/>
    <s v="Portsmouth"/>
    <x v="38"/>
    <x v="0"/>
    <s v="Low"/>
    <d v="2023-09-27T00:00:00"/>
    <n v="4"/>
    <n v="264.23710440000002"/>
    <n v="1056.9484179999999"/>
    <x v="2"/>
    <x v="6"/>
    <n v="1"/>
  </r>
  <r>
    <n v="5396105"/>
    <n v="73862"/>
    <s v="Deanna Johnson"/>
    <s v="Portsmouth"/>
    <x v="41"/>
    <x v="1"/>
    <s v="Low"/>
    <d v="2023-08-25T00:00:00"/>
    <n v="6"/>
    <n v="172.5107515"/>
    <n v="1035.064509"/>
    <x v="3"/>
    <x v="8"/>
    <n v="2"/>
  </r>
  <r>
    <n v="9736484"/>
    <n v="32669"/>
    <s v="Gloria Luna"/>
    <s v="Portsmouth"/>
    <x v="19"/>
    <x v="1"/>
    <s v="Low"/>
    <d v="2023-09-09T00:00:00"/>
    <n v="7"/>
    <n v="147.4081401"/>
    <n v="1031.8569809999999"/>
    <x v="1"/>
    <x v="13"/>
    <n v="1"/>
  </r>
  <r>
    <n v="7029596"/>
    <n v="21798"/>
    <s v="Cynthia Mckenzie"/>
    <s v="Portsmouth"/>
    <x v="33"/>
    <x v="0"/>
    <s v="Medium"/>
    <d v="2023-08-27T00:00:00"/>
    <n v="5"/>
    <n v="206.0890612"/>
    <n v="1030.4453060000001"/>
    <x v="2"/>
    <x v="29"/>
    <n v="1"/>
  </r>
  <r>
    <n v="8523222"/>
    <n v="81200"/>
    <s v="Tony Moon"/>
    <s v="Portsmouth"/>
    <x v="10"/>
    <x v="1"/>
    <s v="Medium"/>
    <d v="2023-06-27T00:00:00"/>
    <n v="4"/>
    <n v="257.58697239999998"/>
    <n v="1030.34789"/>
    <x v="4"/>
    <x v="21"/>
    <n v="4"/>
  </r>
  <r>
    <n v="4052364"/>
    <n v="29811"/>
    <s v="Wyatt Spencer"/>
    <s v="Portsmouth"/>
    <x v="19"/>
    <x v="0"/>
    <s v="Low"/>
    <d v="2023-06-26T00:00:00"/>
    <n v="10"/>
    <n v="102.40322810000001"/>
    <n v="1024.032281"/>
    <x v="2"/>
    <x v="7"/>
    <n v="4"/>
  </r>
  <r>
    <n v="1886519"/>
    <n v="36836"/>
    <s v="Cody Anderson"/>
    <s v="Portsmouth"/>
    <x v="30"/>
    <x v="0"/>
    <s v="High"/>
    <d v="2023-05-24T00:00:00"/>
    <n v="3"/>
    <n v="340.74184279999997"/>
    <n v="1022.2255280000001"/>
    <x v="0"/>
    <x v="4"/>
    <n v="4"/>
  </r>
  <r>
    <n v="5281561"/>
    <n v="65159"/>
    <s v="Susan Vasquez"/>
    <s v="Portsmouth"/>
    <x v="23"/>
    <x v="0"/>
    <s v="Medium"/>
    <d v="2023-06-09T00:00:00"/>
    <n v="10"/>
    <n v="101.535408"/>
    <n v="1015.35408"/>
    <x v="0"/>
    <x v="0"/>
    <n v="3"/>
  </r>
  <r>
    <n v="5020401"/>
    <n v="35547"/>
    <s v="William Thomas"/>
    <s v="Portsmouth"/>
    <x v="3"/>
    <x v="1"/>
    <s v="Low"/>
    <d v="2023-10-31T00:00:00"/>
    <n v="5"/>
    <n v="202.71539559999999"/>
    <n v="1013.5769780000001"/>
    <x v="1"/>
    <x v="8"/>
    <n v="2"/>
  </r>
  <r>
    <n v="6094546"/>
    <n v="12223"/>
    <s v="Michael Howe"/>
    <s v="Portsmouth"/>
    <x v="2"/>
    <x v="1"/>
    <s v="High"/>
    <d v="2023-06-10T00:00:00"/>
    <n v="6"/>
    <n v="167.52302639999999"/>
    <n v="1005.138159"/>
    <x v="1"/>
    <x v="16"/>
    <n v="4"/>
  </r>
  <r>
    <n v="9449050"/>
    <n v="14899"/>
    <s v="Adam Decker"/>
    <s v="Portsmouth"/>
    <x v="44"/>
    <x v="1"/>
    <s v="Medium"/>
    <d v="2023-05-14T00:00:00"/>
    <n v="4"/>
    <n v="249.23090089999999"/>
    <n v="996.92360369999994"/>
    <x v="1"/>
    <x v="1"/>
    <n v="3"/>
  </r>
  <r>
    <n v="7509621"/>
    <n v="87729"/>
    <s v="Karen Short"/>
    <s v="Portsmouth"/>
    <x v="12"/>
    <x v="0"/>
    <s v="Medium"/>
    <d v="2023-12-12T00:00:00"/>
    <n v="4"/>
    <n v="245.18673340000001"/>
    <n v="980.7469337"/>
    <x v="3"/>
    <x v="11"/>
    <n v="4"/>
  </r>
  <r>
    <n v="9658399"/>
    <n v="71121"/>
    <s v="Heather Sloan"/>
    <s v="Portsmouth"/>
    <x v="45"/>
    <x v="0"/>
    <s v="High"/>
    <d v="2024-02-18T00:00:00"/>
    <n v="10"/>
    <n v="97.996788559999999"/>
    <n v="979.96788560000005"/>
    <x v="1"/>
    <x v="19"/>
    <n v="1"/>
  </r>
  <r>
    <n v="9970701"/>
    <n v="79487"/>
    <s v="Elizabeth Rowe"/>
    <s v="Portsmouth"/>
    <x v="35"/>
    <x v="1"/>
    <s v="Low"/>
    <d v="2024-02-24T00:00:00"/>
    <n v="2"/>
    <n v="489.81710470000002"/>
    <n v="979.63420940000003"/>
    <x v="2"/>
    <x v="3"/>
    <n v="2"/>
  </r>
  <r>
    <n v="9845803"/>
    <n v="79052"/>
    <s v="Richard Hodge"/>
    <s v="Portsmouth"/>
    <x v="36"/>
    <x v="0"/>
    <s v="High"/>
    <d v="2023-11-14T00:00:00"/>
    <n v="7"/>
    <n v="139.8812925"/>
    <n v="979.16904739999995"/>
    <x v="0"/>
    <x v="19"/>
    <n v="4"/>
  </r>
  <r>
    <n v="8783109"/>
    <n v="65305"/>
    <s v="Jonathan Jenkins"/>
    <s v="Portsmouth"/>
    <x v="43"/>
    <x v="1"/>
    <s v="High"/>
    <d v="2023-12-12T00:00:00"/>
    <n v="5"/>
    <n v="195.55140299999999"/>
    <n v="977.75701479999998"/>
    <x v="1"/>
    <x v="11"/>
    <n v="4"/>
  </r>
  <r>
    <n v="5404187"/>
    <n v="23713"/>
    <s v="Brent Gonzalez"/>
    <s v="Portsmouth"/>
    <x v="30"/>
    <x v="1"/>
    <s v="Low"/>
    <d v="2023-06-29T00:00:00"/>
    <n v="4"/>
    <n v="243.64027630000001"/>
    <n v="974.56110520000004"/>
    <x v="2"/>
    <x v="15"/>
    <n v="2"/>
  </r>
  <r>
    <n v="1722757"/>
    <n v="39003"/>
    <s v="Shelby Perry"/>
    <s v="Portsmouth"/>
    <x v="5"/>
    <x v="0"/>
    <s v="High"/>
    <d v="2023-06-03T00:00:00"/>
    <n v="2"/>
    <n v="486.21569679999999"/>
    <n v="972.43139350000001"/>
    <x v="0"/>
    <x v="0"/>
    <n v="1"/>
  </r>
  <r>
    <n v="6615549"/>
    <n v="37748"/>
    <s v="Teresa West"/>
    <s v="Portsmouth"/>
    <x v="35"/>
    <x v="1"/>
    <s v="Low"/>
    <d v="2024-01-29T00:00:00"/>
    <n v="5"/>
    <n v="194.123119"/>
    <n v="970.61559480000005"/>
    <x v="1"/>
    <x v="4"/>
    <n v="1"/>
  </r>
  <r>
    <n v="1505270"/>
    <n v="38517"/>
    <s v="Todd Jackson"/>
    <s v="Portsmouth"/>
    <x v="45"/>
    <x v="1"/>
    <s v="Low"/>
    <d v="2023-04-10T00:00:00"/>
    <n v="3"/>
    <n v="322.1477142"/>
    <n v="966.44314269999995"/>
    <x v="0"/>
    <x v="12"/>
    <n v="4"/>
  </r>
  <r>
    <n v="5202314"/>
    <n v="22042"/>
    <s v="Sharon Peters"/>
    <s v="Portsmouth"/>
    <x v="42"/>
    <x v="1"/>
    <s v="Low"/>
    <d v="2023-07-31T00:00:00"/>
    <n v="2"/>
    <n v="483.17710369999998"/>
    <n v="966.35420739999995"/>
    <x v="0"/>
    <x v="25"/>
    <n v="5"/>
  </r>
  <r>
    <n v="8164996"/>
    <n v="12604"/>
    <s v="Derek Patrick"/>
    <s v="Portsmouth"/>
    <x v="41"/>
    <x v="1"/>
    <s v="Low"/>
    <d v="2023-12-06T00:00:00"/>
    <n v="6"/>
    <n v="159.71959659999999"/>
    <n v="958.31757960000004"/>
    <x v="4"/>
    <x v="20"/>
    <n v="2"/>
  </r>
  <r>
    <n v="4832261"/>
    <n v="38047"/>
    <s v="Brittany Williams"/>
    <s v="Portsmouth"/>
    <x v="18"/>
    <x v="1"/>
    <s v="Low"/>
    <d v="2024-01-26T00:00:00"/>
    <n v="3"/>
    <n v="317.12894080000001"/>
    <n v="951.38682249999999"/>
    <x v="3"/>
    <x v="18"/>
    <n v="1"/>
  </r>
  <r>
    <n v="8810446"/>
    <n v="93866"/>
    <s v="Zachary Diaz"/>
    <s v="Portsmouth"/>
    <x v="34"/>
    <x v="0"/>
    <s v="Medium"/>
    <d v="2023-09-23T00:00:00"/>
    <n v="5"/>
    <n v="188.72045489999999"/>
    <n v="943.60227459999999"/>
    <x v="4"/>
    <x v="12"/>
    <n v="1"/>
  </r>
  <r>
    <n v="3489336"/>
    <n v="40654"/>
    <s v="Sara Rogers"/>
    <s v="Portsmouth"/>
    <x v="50"/>
    <x v="1"/>
    <s v="Low"/>
    <d v="2023-10-24T00:00:00"/>
    <n v="2"/>
    <n v="469.65963920000002"/>
    <n v="939.31927829999995"/>
    <x v="0"/>
    <x v="22"/>
    <n v="2"/>
  </r>
  <r>
    <n v="3239367"/>
    <n v="62464"/>
    <s v="Michele Johnson"/>
    <s v="Portsmouth"/>
    <x v="32"/>
    <x v="0"/>
    <s v="High"/>
    <d v="2023-12-14T00:00:00"/>
    <n v="3"/>
    <n v="312.97657270000002"/>
    <n v="938.92971799999998"/>
    <x v="2"/>
    <x v="14"/>
    <n v="2"/>
  </r>
  <r>
    <n v="2781672"/>
    <n v="73664"/>
    <s v="Ann Douglas"/>
    <s v="Portsmouth"/>
    <x v="2"/>
    <x v="1"/>
    <s v="Medium"/>
    <d v="2023-03-21T00:00:00"/>
    <n v="4"/>
    <n v="229.90852530000001"/>
    <n v="919.6341013"/>
    <x v="1"/>
    <x v="3"/>
    <n v="2"/>
  </r>
  <r>
    <n v="3632603"/>
    <n v="96811"/>
    <s v="Sarah Harris"/>
    <s v="Portsmouth"/>
    <x v="29"/>
    <x v="0"/>
    <s v="Medium"/>
    <d v="2024-01-08T00:00:00"/>
    <n v="2"/>
    <n v="457.25010789999999"/>
    <n v="914.50021579999998"/>
    <x v="4"/>
    <x v="10"/>
    <n v="3"/>
  </r>
  <r>
    <n v="4645610"/>
    <n v="49175"/>
    <s v="Cynthia Fisher"/>
    <s v="Portsmouth"/>
    <x v="13"/>
    <x v="1"/>
    <s v="Low"/>
    <d v="2024-02-02T00:00:00"/>
    <n v="2"/>
    <n v="456.20224830000001"/>
    <n v="912.40449650000005"/>
    <x v="0"/>
    <x v="21"/>
    <n v="2"/>
  </r>
  <r>
    <n v="2635116"/>
    <n v="91124"/>
    <s v="Allen Calderon"/>
    <s v="Portsmouth"/>
    <x v="39"/>
    <x v="1"/>
    <s v="High"/>
    <d v="2023-03-26T00:00:00"/>
    <n v="2"/>
    <n v="451.44629209999999"/>
    <n v="902.89258419999999"/>
    <x v="1"/>
    <x v="13"/>
    <n v="4"/>
  </r>
  <r>
    <n v="9084403"/>
    <n v="89815"/>
    <s v="Richard Diaz"/>
    <s v="Portsmouth"/>
    <x v="27"/>
    <x v="1"/>
    <s v="Low"/>
    <d v="2024-02-26T00:00:00"/>
    <n v="3"/>
    <n v="291.40242050000001"/>
    <n v="874.20726139999999"/>
    <x v="3"/>
    <x v="3"/>
    <n v="4"/>
  </r>
  <r>
    <n v="7042837"/>
    <n v="80366"/>
    <s v="Steven Sullivan"/>
    <s v="Portsmouth"/>
    <x v="29"/>
    <x v="1"/>
    <s v="Medium"/>
    <d v="2023-07-29T00:00:00"/>
    <n v="10"/>
    <n v="86.849413499999997"/>
    <n v="868.49413500000003"/>
    <x v="3"/>
    <x v="22"/>
    <n v="2"/>
  </r>
  <r>
    <n v="9699039"/>
    <n v="55747"/>
    <s v="James Brown"/>
    <s v="Portsmouth"/>
    <x v="38"/>
    <x v="0"/>
    <s v="High"/>
    <d v="2023-03-30T00:00:00"/>
    <n v="2"/>
    <n v="433.54646730000002"/>
    <n v="867.09293460000004"/>
    <x v="4"/>
    <x v="6"/>
    <n v="2"/>
  </r>
  <r>
    <n v="1983549"/>
    <n v="18932"/>
    <s v="Karina Wade"/>
    <s v="Portsmouth"/>
    <x v="47"/>
    <x v="0"/>
    <s v="High"/>
    <d v="2023-09-30T00:00:00"/>
    <n v="7"/>
    <n v="123.8693835"/>
    <n v="867.08568419999995"/>
    <x v="3"/>
    <x v="17"/>
    <n v="4"/>
  </r>
  <r>
    <n v="8025037"/>
    <n v="57044"/>
    <s v="Lindsey Bowman"/>
    <s v="Portsmouth"/>
    <x v="29"/>
    <x v="1"/>
    <s v="Low"/>
    <d v="2023-11-27T00:00:00"/>
    <n v="4"/>
    <n v="214.24407059999999"/>
    <n v="856.97628229999998"/>
    <x v="1"/>
    <x v="9"/>
    <n v="3"/>
  </r>
  <r>
    <n v="4105287"/>
    <n v="41336"/>
    <s v="Nathan Estrada"/>
    <s v="Portsmouth"/>
    <x v="36"/>
    <x v="1"/>
    <s v="Medium"/>
    <d v="2024-01-17T00:00:00"/>
    <n v="6"/>
    <n v="141.86498399999999"/>
    <n v="851.18990389999999"/>
    <x v="3"/>
    <x v="24"/>
    <n v="2"/>
  </r>
  <r>
    <n v="9366120"/>
    <n v="90603"/>
    <s v="Kristen Vazquez"/>
    <s v="Portsmouth"/>
    <x v="28"/>
    <x v="0"/>
    <s v="High"/>
    <d v="2023-03-19T00:00:00"/>
    <n v="9"/>
    <n v="94.332139359999999"/>
    <n v="848.98925429999997"/>
    <x v="0"/>
    <x v="23"/>
    <n v="2"/>
  </r>
  <r>
    <n v="9711181"/>
    <n v="50100"/>
    <s v="Penny Harris"/>
    <s v="Portsmouth"/>
    <x v="45"/>
    <x v="0"/>
    <s v="Low"/>
    <d v="2024-01-13T00:00:00"/>
    <n v="3"/>
    <n v="279.5816873"/>
    <n v="838.7450619"/>
    <x v="3"/>
    <x v="15"/>
    <n v="4"/>
  </r>
  <r>
    <n v="8051821"/>
    <n v="25788"/>
    <s v="Gregory Schultz"/>
    <s v="Portsmouth"/>
    <x v="14"/>
    <x v="1"/>
    <s v="Medium"/>
    <d v="2023-11-04T00:00:00"/>
    <n v="5"/>
    <n v="167.6740216"/>
    <n v="838.37010780000003"/>
    <x v="2"/>
    <x v="7"/>
    <n v="4"/>
  </r>
  <r>
    <n v="4058513"/>
    <n v="57742"/>
    <s v="Lisa Tyler"/>
    <s v="Portsmouth"/>
    <x v="27"/>
    <x v="1"/>
    <s v="Low"/>
    <d v="2023-10-11T00:00:00"/>
    <n v="9"/>
    <n v="93.062150500000001"/>
    <n v="837.55935450000004"/>
    <x v="4"/>
    <x v="26"/>
    <n v="2"/>
  </r>
  <r>
    <n v="4419118"/>
    <n v="89086"/>
    <s v="Ronald Kim"/>
    <s v="Portsmouth"/>
    <x v="34"/>
    <x v="0"/>
    <s v="Medium"/>
    <d v="2023-03-28T00:00:00"/>
    <n v="9"/>
    <n v="92.612521569999998"/>
    <n v="833.51269409999998"/>
    <x v="3"/>
    <x v="5"/>
    <n v="4"/>
  </r>
  <r>
    <n v="1748365"/>
    <n v="67367"/>
    <s v="Tracy Carson"/>
    <s v="Portsmouth"/>
    <x v="27"/>
    <x v="0"/>
    <s v="Medium"/>
    <d v="2023-12-02T00:00:00"/>
    <n v="5"/>
    <n v="166.6772163"/>
    <n v="833.38608139999997"/>
    <x v="2"/>
    <x v="24"/>
    <n v="4"/>
  </r>
  <r>
    <n v="7355533"/>
    <n v="76027"/>
    <s v="Karen Hicks"/>
    <s v="Portsmouth"/>
    <x v="45"/>
    <x v="1"/>
    <s v="Low"/>
    <d v="2023-03-10T00:00:00"/>
    <n v="4"/>
    <n v="206.64326750000001"/>
    <n v="826.5730701"/>
    <x v="1"/>
    <x v="13"/>
    <n v="4"/>
  </r>
  <r>
    <n v="2060723"/>
    <n v="97340"/>
    <s v="Carlos Moore"/>
    <s v="Portsmouth"/>
    <x v="27"/>
    <x v="1"/>
    <s v="Medium"/>
    <d v="2023-07-12T00:00:00"/>
    <n v="5"/>
    <n v="162.97372619999999"/>
    <n v="814.86863080000001"/>
    <x v="4"/>
    <x v="19"/>
    <n v="4"/>
  </r>
  <r>
    <n v="4480409"/>
    <n v="74540"/>
    <s v="Stuart Hutchinson"/>
    <s v="Portsmouth"/>
    <x v="37"/>
    <x v="0"/>
    <s v="Medium"/>
    <d v="2023-08-11T00:00:00"/>
    <n v="4"/>
    <n v="202.9103015"/>
    <n v="811.64120590000005"/>
    <x v="4"/>
    <x v="2"/>
    <n v="2"/>
  </r>
  <r>
    <n v="9343361"/>
    <n v="74050"/>
    <s v="Ryan Brown"/>
    <s v="Portsmouth"/>
    <x v="16"/>
    <x v="1"/>
    <s v="Low"/>
    <d v="2023-09-15T00:00:00"/>
    <n v="4"/>
    <n v="202.8015925"/>
    <n v="811.20636979999995"/>
    <x v="1"/>
    <x v="22"/>
    <n v="1"/>
  </r>
  <r>
    <n v="6761027"/>
    <n v="11397"/>
    <s v="Tracy Baxter"/>
    <s v="Portsmouth"/>
    <x v="8"/>
    <x v="0"/>
    <s v="Low"/>
    <d v="2023-08-31T00:00:00"/>
    <n v="2"/>
    <n v="405.4487158"/>
    <n v="810.8974316"/>
    <x v="2"/>
    <x v="22"/>
    <n v="4"/>
  </r>
  <r>
    <n v="9534452"/>
    <n v="20500"/>
    <s v="Matthew Hicks"/>
    <s v="Portsmouth"/>
    <x v="25"/>
    <x v="0"/>
    <s v="Medium"/>
    <d v="2023-06-06T00:00:00"/>
    <n v="4"/>
    <n v="201.95373480000001"/>
    <n v="807.81493920000003"/>
    <x v="4"/>
    <x v="14"/>
    <n v="2"/>
  </r>
  <r>
    <n v="2174773"/>
    <n v="69749"/>
    <s v="Kelsey Hill"/>
    <s v="Nottingham"/>
    <x v="43"/>
    <x v="0"/>
    <s v="Low"/>
    <d v="2023-12-31T00:00:00"/>
    <n v="2"/>
    <n v="403.3539073"/>
    <n v="806.70781469999997"/>
    <x v="0"/>
    <x v="6"/>
    <n v="4"/>
  </r>
  <r>
    <n v="2885243"/>
    <n v="13256"/>
    <s v="Robert Lee"/>
    <s v="Portsmouth"/>
    <x v="44"/>
    <x v="1"/>
    <s v="Medium"/>
    <d v="2023-07-02T00:00:00"/>
    <n v="5"/>
    <n v="160.81978470000001"/>
    <n v="804.09892349999996"/>
    <x v="1"/>
    <x v="4"/>
    <n v="1"/>
  </r>
  <r>
    <n v="8871554"/>
    <n v="63914"/>
    <s v="Joshua Noble"/>
    <s v="Portsmouth"/>
    <x v="25"/>
    <x v="1"/>
    <s v="High"/>
    <d v="2023-08-06T00:00:00"/>
    <n v="4"/>
    <n v="200.28712820000001"/>
    <n v="801.14851280000005"/>
    <x v="3"/>
    <x v="2"/>
    <n v="2"/>
  </r>
  <r>
    <n v="9250956"/>
    <n v="73450"/>
    <s v="Christopher Burke"/>
    <s v="Portsmouth"/>
    <x v="14"/>
    <x v="0"/>
    <s v="Medium"/>
    <d v="2024-01-11T00:00:00"/>
    <n v="8"/>
    <n v="98.068329969999994"/>
    <n v="784.54663970000001"/>
    <x v="1"/>
    <x v="14"/>
    <n v="4"/>
  </r>
  <r>
    <n v="4281916"/>
    <n v="24134"/>
    <s v="Mitchell Mueller"/>
    <s v="Portsmouth"/>
    <x v="8"/>
    <x v="1"/>
    <s v="Low"/>
    <d v="2023-05-07T00:00:00"/>
    <n v="9"/>
    <n v="87.041128069999999"/>
    <n v="783.37015259999998"/>
    <x v="0"/>
    <x v="26"/>
    <n v="4"/>
  </r>
  <r>
    <n v="5707272"/>
    <n v="15992"/>
    <s v="Katie Sweeney"/>
    <s v="Portsmouth"/>
    <x v="42"/>
    <x v="1"/>
    <s v="High"/>
    <d v="2023-04-06T00:00:00"/>
    <n v="4"/>
    <n v="195.2749455"/>
    <n v="781.099782"/>
    <x v="2"/>
    <x v="4"/>
    <n v="1"/>
  </r>
  <r>
    <n v="9719734"/>
    <n v="95531"/>
    <s v="Holly Gordon"/>
    <s v="Portsmouth"/>
    <x v="31"/>
    <x v="0"/>
    <s v="Low"/>
    <d v="2023-03-27T00:00:00"/>
    <n v="5"/>
    <n v="154.45325510000001"/>
    <n v="772.26627559999997"/>
    <x v="3"/>
    <x v="13"/>
    <n v="2"/>
  </r>
  <r>
    <n v="5004469"/>
    <n v="89926"/>
    <s v="Javier Wright"/>
    <s v="Portsmouth"/>
    <x v="20"/>
    <x v="0"/>
    <s v="Low"/>
    <d v="2023-08-30T00:00:00"/>
    <n v="6"/>
    <n v="127.0050918"/>
    <n v="762.03055089999998"/>
    <x v="1"/>
    <x v="4"/>
    <n v="4"/>
  </r>
  <r>
    <n v="1886587"/>
    <n v="93886"/>
    <s v="Shannon Sparks"/>
    <s v="Portsmouth"/>
    <x v="31"/>
    <x v="0"/>
    <s v="Low"/>
    <d v="2023-06-04T00:00:00"/>
    <n v="3"/>
    <n v="250.21699050000001"/>
    <n v="750.65097149999997"/>
    <x v="2"/>
    <x v="2"/>
    <n v="4"/>
  </r>
  <r>
    <n v="6665538"/>
    <n v="49922"/>
    <s v="Veronica Gregory"/>
    <s v="Portsmouth"/>
    <x v="27"/>
    <x v="1"/>
    <s v="Medium"/>
    <d v="2023-04-18T00:00:00"/>
    <n v="2"/>
    <n v="375.18939369999998"/>
    <n v="750.37878750000004"/>
    <x v="3"/>
    <x v="28"/>
    <n v="1"/>
  </r>
  <r>
    <n v="9202969"/>
    <n v="35966"/>
    <s v="Jennifer Wright"/>
    <s v="Portsmouth"/>
    <x v="50"/>
    <x v="1"/>
    <s v="Low"/>
    <d v="2024-02-20T00:00:00"/>
    <n v="4"/>
    <n v="187.09260259999999"/>
    <n v="748.37041050000005"/>
    <x v="0"/>
    <x v="2"/>
    <n v="1"/>
  </r>
  <r>
    <n v="6353946"/>
    <n v="39757"/>
    <s v="Lauren Hayes"/>
    <s v="Portsmouth"/>
    <x v="51"/>
    <x v="0"/>
    <s v="Medium"/>
    <d v="2023-07-16T00:00:00"/>
    <n v="8"/>
    <n v="93.004218839999993"/>
    <n v="744.03375070000004"/>
    <x v="0"/>
    <x v="12"/>
    <n v="3"/>
  </r>
  <r>
    <n v="3139836"/>
    <n v="38486"/>
    <s v="Daniel Phillips"/>
    <s v="Portsmouth"/>
    <x v="30"/>
    <x v="0"/>
    <s v="Medium"/>
    <d v="2023-11-07T00:00:00"/>
    <n v="6"/>
    <n v="123.6168965"/>
    <n v="741.70137910000005"/>
    <x v="2"/>
    <x v="27"/>
    <n v="2"/>
  </r>
  <r>
    <n v="5166565"/>
    <n v="51279"/>
    <s v="Roy Obrien"/>
    <s v="Portsmouth"/>
    <x v="21"/>
    <x v="1"/>
    <s v="Low"/>
    <d v="2023-12-21T00:00:00"/>
    <n v="4"/>
    <n v="183.7086333"/>
    <n v="734.83453310000004"/>
    <x v="4"/>
    <x v="20"/>
    <n v="3"/>
  </r>
  <r>
    <n v="1363299"/>
    <n v="28607"/>
    <s v="Darren Higgins"/>
    <s v="Portsmouth"/>
    <x v="21"/>
    <x v="1"/>
    <s v="Medium"/>
    <d v="2023-03-15T00:00:00"/>
    <n v="2"/>
    <n v="365.80532940000001"/>
    <n v="731.61065870000004"/>
    <x v="2"/>
    <x v="26"/>
    <n v="4"/>
  </r>
  <r>
    <n v="3326402"/>
    <n v="67949"/>
    <s v="Martin Giles"/>
    <s v="Portsmouth"/>
    <x v="45"/>
    <x v="1"/>
    <s v="Medium"/>
    <d v="2024-02-20T00:00:00"/>
    <n v="3"/>
    <n v="242.8579728"/>
    <n v="728.57391840000003"/>
    <x v="2"/>
    <x v="23"/>
    <n v="2"/>
  </r>
  <r>
    <n v="8305001"/>
    <n v="45455"/>
    <s v="Richard Lee"/>
    <s v="Portsmouth"/>
    <x v="26"/>
    <x v="1"/>
    <s v="High"/>
    <d v="2023-03-10T00:00:00"/>
    <n v="7"/>
    <n v="103.5787378"/>
    <n v="725.05116429999998"/>
    <x v="4"/>
    <x v="17"/>
    <n v="4"/>
  </r>
  <r>
    <n v="1705974"/>
    <n v="40624"/>
    <s v="Trevor Walker"/>
    <s v="Portsmouth"/>
    <x v="44"/>
    <x v="1"/>
    <s v="Medium"/>
    <d v="2023-03-13T00:00:00"/>
    <n v="2"/>
    <n v="360.6269886"/>
    <n v="721.25397729999997"/>
    <x v="4"/>
    <x v="19"/>
    <n v="5"/>
  </r>
  <r>
    <n v="6907373"/>
    <n v="97201"/>
    <s v="Daniel Myers"/>
    <s v="Portsmouth"/>
    <x v="32"/>
    <x v="1"/>
    <s v="Medium"/>
    <d v="2023-05-31T00:00:00"/>
    <n v="5"/>
    <n v="142.07257960000001"/>
    <n v="710.36289780000004"/>
    <x v="4"/>
    <x v="9"/>
    <n v="5"/>
  </r>
  <r>
    <n v="2761901"/>
    <n v="79517"/>
    <s v="Brittany Myers"/>
    <s v="Portsmouth"/>
    <x v="46"/>
    <x v="0"/>
    <s v="High"/>
    <d v="2024-02-12T00:00:00"/>
    <n v="8"/>
    <n v="88.347889030000005"/>
    <n v="706.78311220000001"/>
    <x v="4"/>
    <x v="2"/>
    <n v="1"/>
  </r>
  <r>
    <n v="4179977"/>
    <n v="39794"/>
    <s v="Ray Malone"/>
    <s v="Portsmouth"/>
    <x v="4"/>
    <x v="0"/>
    <s v="Low"/>
    <d v="2023-03-03T00:00:00"/>
    <n v="2"/>
    <n v="353.27298039999999"/>
    <n v="706.54596079999999"/>
    <x v="1"/>
    <x v="2"/>
    <n v="4"/>
  </r>
  <r>
    <n v="8574194"/>
    <n v="50357"/>
    <s v="Kathryn Martin"/>
    <s v="Portsmouth"/>
    <x v="4"/>
    <x v="1"/>
    <s v="Low"/>
    <d v="2023-12-06T00:00:00"/>
    <n v="7"/>
    <n v="99.197074529999995"/>
    <n v="694.37952170000005"/>
    <x v="0"/>
    <x v="1"/>
    <n v="4"/>
  </r>
  <r>
    <n v="4207988"/>
    <n v="17065"/>
    <s v="Darrell Smith"/>
    <s v="Portsmouth"/>
    <x v="9"/>
    <x v="1"/>
    <s v="Medium"/>
    <d v="2024-02-12T00:00:00"/>
    <n v="3"/>
    <n v="229.7945618"/>
    <n v="689.38368549999996"/>
    <x v="4"/>
    <x v="20"/>
    <n v="1"/>
  </r>
  <r>
    <n v="7243960"/>
    <n v="66020"/>
    <s v="Austin Mills"/>
    <s v="Portsmouth"/>
    <x v="5"/>
    <x v="0"/>
    <s v="Medium"/>
    <d v="2023-07-23T00:00:00"/>
    <n v="3"/>
    <n v="229.32270130000001"/>
    <n v="687.96810379999999"/>
    <x v="0"/>
    <x v="13"/>
    <n v="4"/>
  </r>
  <r>
    <n v="7084758"/>
    <n v="90471"/>
    <s v="Ann Walker"/>
    <s v="Portsmouth"/>
    <x v="30"/>
    <x v="0"/>
    <s v="Medium"/>
    <d v="2023-08-13T00:00:00"/>
    <n v="2"/>
    <n v="343.06407630000001"/>
    <n v="686.12815260000002"/>
    <x v="0"/>
    <x v="28"/>
    <n v="2"/>
  </r>
  <r>
    <n v="4923734"/>
    <n v="91172"/>
    <s v="Amanda Decker"/>
    <s v="Portsmouth"/>
    <x v="19"/>
    <x v="0"/>
    <s v="High"/>
    <d v="2023-03-17T00:00:00"/>
    <n v="3"/>
    <n v="227.4255488"/>
    <n v="682.27664649999997"/>
    <x v="1"/>
    <x v="27"/>
    <n v="4"/>
  </r>
  <r>
    <n v="7872156"/>
    <n v="74342"/>
    <s v="Alyssa Mitchell"/>
    <s v="Portsmouth"/>
    <x v="49"/>
    <x v="1"/>
    <s v="Medium"/>
    <d v="2023-03-30T00:00:00"/>
    <n v="2"/>
    <n v="340.90927799999997"/>
    <n v="681.81855610000002"/>
    <x v="0"/>
    <x v="12"/>
    <n v="5"/>
  </r>
  <r>
    <n v="4208526"/>
    <n v="66911"/>
    <s v="Anne Dominguez"/>
    <s v="Portsmouth"/>
    <x v="10"/>
    <x v="0"/>
    <s v="Low"/>
    <d v="2023-12-16T00:00:00"/>
    <n v="2"/>
    <n v="333.70443310000002"/>
    <n v="667.4088663"/>
    <x v="1"/>
    <x v="18"/>
    <n v="4"/>
  </r>
  <r>
    <n v="3556585"/>
    <n v="55609"/>
    <s v="Andrea Hudson"/>
    <s v="Portsmouth"/>
    <x v="16"/>
    <x v="0"/>
    <s v="Medium"/>
    <d v="2024-01-31T00:00:00"/>
    <n v="3"/>
    <n v="221.07437719999999"/>
    <n v="663.22313150000002"/>
    <x v="1"/>
    <x v="17"/>
    <n v="3"/>
  </r>
  <r>
    <n v="4201893"/>
    <n v="93072"/>
    <s v="Brandy Cruz"/>
    <s v="Portsmouth"/>
    <x v="2"/>
    <x v="1"/>
    <s v="Low"/>
    <d v="2023-12-14T00:00:00"/>
    <n v="2"/>
    <n v="324.91566769999997"/>
    <n v="649.83133529999998"/>
    <x v="0"/>
    <x v="16"/>
    <n v="4"/>
  </r>
  <r>
    <n v="2545225"/>
    <n v="86575"/>
    <s v="Derek Green"/>
    <s v="Portsmouth"/>
    <x v="36"/>
    <x v="0"/>
    <s v="Medium"/>
    <d v="2023-09-10T00:00:00"/>
    <n v="6"/>
    <n v="106.506742"/>
    <n v="639.04045199999996"/>
    <x v="0"/>
    <x v="16"/>
    <n v="2"/>
  </r>
  <r>
    <n v="3101821"/>
    <n v="93615"/>
    <s v="Linda Spencer DVM"/>
    <s v="Portsmouth"/>
    <x v="23"/>
    <x v="1"/>
    <s v="Low"/>
    <d v="2023-03-08T00:00:00"/>
    <n v="6"/>
    <n v="106.4830681"/>
    <n v="638.89840860000004"/>
    <x v="2"/>
    <x v="19"/>
    <n v="1"/>
  </r>
  <r>
    <n v="4190867"/>
    <n v="35511"/>
    <s v="Alexander Jones"/>
    <s v="Portsmouth"/>
    <x v="41"/>
    <x v="1"/>
    <s v="Medium"/>
    <d v="2024-02-11T00:00:00"/>
    <n v="6"/>
    <n v="105.8696557"/>
    <n v="635.21793390000005"/>
    <x v="3"/>
    <x v="17"/>
    <n v="1"/>
  </r>
  <r>
    <n v="2492168"/>
    <n v="40619"/>
    <s v="Robin Campbell"/>
    <s v="Portsmouth"/>
    <x v="43"/>
    <x v="1"/>
    <s v="Medium"/>
    <d v="2023-11-06T00:00:00"/>
    <n v="2"/>
    <n v="317.00159339999999"/>
    <n v="634.00318679999998"/>
    <x v="2"/>
    <x v="19"/>
    <n v="4"/>
  </r>
  <r>
    <n v="5434096"/>
    <n v="97285"/>
    <s v="Erin Lewis"/>
    <s v="Kitchener"/>
    <x v="8"/>
    <x v="0"/>
    <s v="Low"/>
    <d v="2023-06-26T00:00:00"/>
    <n v="2"/>
    <n v="315.0576476"/>
    <n v="630.11529510000003"/>
    <x v="2"/>
    <x v="0"/>
    <n v="1"/>
  </r>
  <r>
    <n v="7647671"/>
    <n v="93553"/>
    <s v="Nathaniel Kim"/>
    <s v="Portsmouth"/>
    <x v="12"/>
    <x v="1"/>
    <s v="High"/>
    <d v="2023-06-20T00:00:00"/>
    <n v="5"/>
    <n v="125.0114069"/>
    <n v="625.05703449999999"/>
    <x v="1"/>
    <x v="16"/>
    <n v="1"/>
  </r>
  <r>
    <n v="8676898"/>
    <n v="67970"/>
    <s v="Jonathan Edwards"/>
    <s v="Portsmouth"/>
    <x v="48"/>
    <x v="1"/>
    <s v="High"/>
    <d v="2024-01-06T00:00:00"/>
    <n v="2"/>
    <n v="312.30908720000002"/>
    <n v="624.61817450000001"/>
    <x v="0"/>
    <x v="14"/>
    <n v="5"/>
  </r>
  <r>
    <n v="4242791"/>
    <n v="30209"/>
    <s v="Julie Mcdonald"/>
    <s v="Portsmouth"/>
    <x v="22"/>
    <x v="1"/>
    <s v="High"/>
    <d v="2023-03-15T00:00:00"/>
    <n v="2"/>
    <n v="306.4115238"/>
    <n v="612.8230476"/>
    <x v="3"/>
    <x v="13"/>
    <n v="4"/>
  </r>
  <r>
    <n v="2690040"/>
    <n v="67876"/>
    <s v="Teresa Mendoza"/>
    <s v="Portsmouth"/>
    <x v="8"/>
    <x v="1"/>
    <s v="High"/>
    <d v="2024-02-01T00:00:00"/>
    <n v="2"/>
    <n v="304.30749379999997"/>
    <n v="608.61498759999995"/>
    <x v="1"/>
    <x v="4"/>
    <n v="3"/>
  </r>
  <r>
    <n v="7267435"/>
    <n v="24363"/>
    <s v="Jennifer Crawford"/>
    <s v="Portsmouth"/>
    <x v="22"/>
    <x v="1"/>
    <s v="Low"/>
    <d v="2024-02-15T00:00:00"/>
    <n v="10"/>
    <n v="60.557969219999997"/>
    <n v="605.57969219999995"/>
    <x v="2"/>
    <x v="29"/>
    <n v="3"/>
  </r>
  <r>
    <n v="6583026"/>
    <n v="41424"/>
    <s v="Elizabeth Oliver"/>
    <s v="Portsmouth"/>
    <x v="7"/>
    <x v="1"/>
    <s v="High"/>
    <d v="2023-05-20T00:00:00"/>
    <n v="9"/>
    <n v="67.056259330000003"/>
    <n v="603.50633389999996"/>
    <x v="0"/>
    <x v="6"/>
    <n v="3"/>
  </r>
  <r>
    <n v="2207555"/>
    <n v="28302"/>
    <s v="Jennifer Larson"/>
    <s v="Portsmouth"/>
    <x v="50"/>
    <x v="0"/>
    <s v="High"/>
    <d v="2023-07-23T00:00:00"/>
    <n v="3"/>
    <n v="201.03780810000001"/>
    <n v="603.11342430000002"/>
    <x v="4"/>
    <x v="7"/>
    <n v="5"/>
  </r>
  <r>
    <n v="7978896"/>
    <n v="28489"/>
    <s v="Julia Dodson"/>
    <s v="Portsmouth"/>
    <x v="31"/>
    <x v="1"/>
    <s v="Medium"/>
    <d v="2023-12-07T00:00:00"/>
    <n v="3"/>
    <n v="199.82450130000001"/>
    <n v="599.4735038"/>
    <x v="2"/>
    <x v="23"/>
    <n v="1"/>
  </r>
  <r>
    <n v="2038772"/>
    <n v="98991"/>
    <s v="Connie Murphy"/>
    <s v="Portsmouth"/>
    <x v="27"/>
    <x v="1"/>
    <s v="Low"/>
    <d v="2023-05-19T00:00:00"/>
    <n v="2"/>
    <n v="299.5818458"/>
    <n v="599.16369150000003"/>
    <x v="2"/>
    <x v="20"/>
    <n v="2"/>
  </r>
  <r>
    <n v="5325812"/>
    <n v="23314"/>
    <s v="Angela Davis"/>
    <s v="Portsmouth"/>
    <x v="7"/>
    <x v="1"/>
    <s v="Low"/>
    <d v="2023-11-16T00:00:00"/>
    <n v="8"/>
    <n v="74.513312209999995"/>
    <n v="596.10649769999998"/>
    <x v="1"/>
    <x v="1"/>
    <n v="2"/>
  </r>
  <r>
    <n v="4154386"/>
    <n v="56726"/>
    <s v="Scott Sampson II"/>
    <s v="Portsmouth"/>
    <x v="6"/>
    <x v="1"/>
    <s v="Medium"/>
    <d v="2023-07-23T00:00:00"/>
    <n v="4"/>
    <n v="148.7134709"/>
    <n v="594.85388350000005"/>
    <x v="3"/>
    <x v="12"/>
    <n v="3"/>
  </r>
  <r>
    <n v="2670235"/>
    <n v="23180"/>
    <s v="Rick Brown"/>
    <s v="Portsmouth"/>
    <x v="23"/>
    <x v="0"/>
    <s v="Medium"/>
    <d v="2023-09-11T00:00:00"/>
    <n v="3"/>
    <n v="197.9684173"/>
    <n v="593.90525200000002"/>
    <x v="2"/>
    <x v="4"/>
    <n v="2"/>
  </r>
  <r>
    <n v="7734668"/>
    <n v="49952"/>
    <s v="Joseph Pearson"/>
    <s v="Portsmouth"/>
    <x v="27"/>
    <x v="0"/>
    <s v="Medium"/>
    <d v="2023-05-06T00:00:00"/>
    <n v="10"/>
    <n v="59.261818400000003"/>
    <n v="592.61818400000004"/>
    <x v="4"/>
    <x v="2"/>
    <n v="1"/>
  </r>
  <r>
    <n v="5282726"/>
    <n v="22848"/>
    <s v="William Chavez"/>
    <s v="Portsmouth"/>
    <x v="0"/>
    <x v="1"/>
    <s v="Low"/>
    <d v="2023-05-23T00:00:00"/>
    <n v="2"/>
    <n v="285.34109769999998"/>
    <n v="570.68219539999996"/>
    <x v="0"/>
    <x v="12"/>
    <n v="4"/>
  </r>
  <r>
    <n v="9070447"/>
    <n v="99870"/>
    <s v="Timothy Benton"/>
    <s v="Portsmouth"/>
    <x v="6"/>
    <x v="1"/>
    <s v="Medium"/>
    <d v="2024-02-27T00:00:00"/>
    <n v="2"/>
    <n v="285.29832970000001"/>
    <n v="570.59665930000006"/>
    <x v="0"/>
    <x v="4"/>
    <n v="1"/>
  </r>
  <r>
    <n v="9315490"/>
    <n v="51531"/>
    <s v="Kayla Harris"/>
    <s v="Portsmouth"/>
    <x v="25"/>
    <x v="1"/>
    <s v="High"/>
    <d v="2023-07-16T00:00:00"/>
    <n v="6"/>
    <n v="94.218669950000006"/>
    <n v="565.31201969999995"/>
    <x v="3"/>
    <x v="24"/>
    <n v="4"/>
  </r>
  <r>
    <n v="2018159"/>
    <n v="66017"/>
    <s v="Christopher Parker"/>
    <s v="Portsmouth"/>
    <x v="4"/>
    <x v="1"/>
    <s v="Low"/>
    <d v="2023-12-14T00:00:00"/>
    <n v="2"/>
    <n v="281.61460290000002"/>
    <n v="563.22920580000005"/>
    <x v="3"/>
    <x v="28"/>
    <n v="3"/>
  </r>
  <r>
    <n v="9786592"/>
    <n v="71257"/>
    <s v="Bryan Edwards"/>
    <s v="Portsmouth"/>
    <x v="3"/>
    <x v="1"/>
    <s v="High"/>
    <d v="2023-07-25T00:00:00"/>
    <n v="2"/>
    <n v="281.6001693"/>
    <n v="563.20033869999997"/>
    <x v="2"/>
    <x v="0"/>
    <n v="2"/>
  </r>
  <r>
    <n v="3101006"/>
    <n v="59411"/>
    <s v="Daniel Thompson"/>
    <s v="Portsmouth"/>
    <x v="25"/>
    <x v="1"/>
    <s v="Low"/>
    <d v="2023-11-01T00:00:00"/>
    <n v="10"/>
    <n v="55.057465299999997"/>
    <n v="550.57465300000001"/>
    <x v="4"/>
    <x v="24"/>
    <n v="2"/>
  </r>
  <r>
    <n v="3421899"/>
    <n v="62301"/>
    <s v="Travis Jones"/>
    <s v="Portsmouth"/>
    <x v="11"/>
    <x v="0"/>
    <s v="Low"/>
    <d v="2023-07-28T00:00:00"/>
    <n v="7"/>
    <n v="78.219126200000005"/>
    <n v="547.53388340000004"/>
    <x v="2"/>
    <x v="15"/>
    <n v="3"/>
  </r>
  <r>
    <n v="6201345"/>
    <n v="11789"/>
    <s v="Ronald Wallace"/>
    <s v="Portsmouth"/>
    <x v="50"/>
    <x v="1"/>
    <s v="High"/>
    <d v="2023-06-19T00:00:00"/>
    <n v="9"/>
    <n v="59.185496479999998"/>
    <n v="532.66946840000003"/>
    <x v="1"/>
    <x v="17"/>
    <n v="5"/>
  </r>
  <r>
    <n v="6857160"/>
    <n v="50574"/>
    <s v="James Church"/>
    <s v="Portsmouth"/>
    <x v="2"/>
    <x v="1"/>
    <s v="Low"/>
    <d v="2023-10-17T00:00:00"/>
    <n v="4"/>
    <n v="129.7569724"/>
    <n v="519.02788950000001"/>
    <x v="2"/>
    <x v="13"/>
    <n v="1"/>
  </r>
  <r>
    <n v="3462909"/>
    <n v="15597"/>
    <s v="Kelly Smith"/>
    <s v="Portsmouth"/>
    <x v="16"/>
    <x v="0"/>
    <s v="Medium"/>
    <d v="2023-04-27T00:00:00"/>
    <n v="2"/>
    <n v="258.41882279999999"/>
    <n v="516.83764559999997"/>
    <x v="3"/>
    <x v="1"/>
    <n v="5"/>
  </r>
  <r>
    <n v="2300962"/>
    <n v="11602"/>
    <s v="Elizabeth Jones"/>
    <s v="Portsmouth"/>
    <x v="38"/>
    <x v="1"/>
    <s v="Low"/>
    <d v="2023-12-13T00:00:00"/>
    <n v="4"/>
    <n v="126.8194883"/>
    <n v="507.27795309999999"/>
    <x v="3"/>
    <x v="21"/>
    <n v="4"/>
  </r>
  <r>
    <n v="1566437"/>
    <n v="23547"/>
    <s v="Jeremy Spencer"/>
    <s v="Portsmouth"/>
    <x v="22"/>
    <x v="0"/>
    <s v="Low"/>
    <d v="2023-11-20T00:00:00"/>
    <n v="2"/>
    <n v="253.56382840000001"/>
    <n v="507.12765669999999"/>
    <x v="3"/>
    <x v="12"/>
    <n v="1"/>
  </r>
  <r>
    <n v="8243427"/>
    <n v="79548"/>
    <s v="Patricia Nguyen"/>
    <s v="Portsmouth"/>
    <x v="12"/>
    <x v="1"/>
    <s v="Low"/>
    <d v="2023-09-24T00:00:00"/>
    <n v="2"/>
    <n v="248.97491410000001"/>
    <n v="497.94982820000001"/>
    <x v="3"/>
    <x v="27"/>
    <n v="1"/>
  </r>
  <r>
    <n v="4122058"/>
    <n v="47483"/>
    <s v="Tonya Moss"/>
    <s v="Portsmouth"/>
    <x v="17"/>
    <x v="0"/>
    <s v="Medium"/>
    <d v="2023-04-01T00:00:00"/>
    <n v="2"/>
    <n v="248.59145229999999"/>
    <n v="497.18290450000001"/>
    <x v="4"/>
    <x v="12"/>
    <n v="5"/>
  </r>
  <r>
    <n v="8871239"/>
    <n v="84806"/>
    <s v="George Salazar"/>
    <s v="Portsmouth"/>
    <x v="21"/>
    <x v="0"/>
    <s v="Medium"/>
    <d v="2023-08-24T00:00:00"/>
    <n v="4"/>
    <n v="123.0183684"/>
    <n v="492.0734736"/>
    <x v="2"/>
    <x v="12"/>
    <n v="1"/>
  </r>
  <r>
    <n v="7636359"/>
    <n v="31763"/>
    <s v="Robin Ramirez"/>
    <s v="Portsmouth"/>
    <x v="45"/>
    <x v="1"/>
    <s v="Medium"/>
    <d v="2023-09-03T00:00:00"/>
    <n v="5"/>
    <n v="98.033748329999995"/>
    <n v="490.16874159999998"/>
    <x v="3"/>
    <x v="12"/>
    <n v="3"/>
  </r>
  <r>
    <n v="3882390"/>
    <n v="89973"/>
    <s v="Veronica Miles"/>
    <s v="Portsmouth"/>
    <x v="20"/>
    <x v="0"/>
    <s v="Low"/>
    <d v="2023-09-17T00:00:00"/>
    <n v="4"/>
    <n v="120.9730613"/>
    <n v="483.89224510000003"/>
    <x v="0"/>
    <x v="9"/>
    <n v="2"/>
  </r>
  <r>
    <n v="4110889"/>
    <n v="15891"/>
    <s v="Sue Parker"/>
    <s v="Portsmouth"/>
    <x v="23"/>
    <x v="1"/>
    <s v="Medium"/>
    <d v="2023-04-18T00:00:00"/>
    <n v="1"/>
    <n v="481.25794130000003"/>
    <n v="481.25794130000003"/>
    <x v="4"/>
    <x v="19"/>
    <n v="2"/>
  </r>
  <r>
    <n v="3413296"/>
    <n v="98256"/>
    <s v="Steven Boyd"/>
    <s v="Portsmouth"/>
    <x v="27"/>
    <x v="0"/>
    <s v="Low"/>
    <d v="2024-02-06T00:00:00"/>
    <n v="3"/>
    <n v="159.80419330000001"/>
    <n v="479.41257990000003"/>
    <x v="2"/>
    <x v="13"/>
    <n v="3"/>
  </r>
  <r>
    <n v="2946521"/>
    <n v="66660"/>
    <s v="Margaret Kaufman"/>
    <s v="Portsmouth"/>
    <x v="41"/>
    <x v="0"/>
    <s v="Medium"/>
    <d v="2023-10-27T00:00:00"/>
    <n v="1"/>
    <n v="478.4058455"/>
    <n v="478.4058455"/>
    <x v="3"/>
    <x v="6"/>
    <n v="1"/>
  </r>
  <r>
    <n v="2145553"/>
    <n v="60481"/>
    <s v="Renee Manning"/>
    <s v="Portsmouth"/>
    <x v="31"/>
    <x v="0"/>
    <s v="Low"/>
    <d v="2023-03-26T00:00:00"/>
    <n v="1"/>
    <n v="474.64672250000001"/>
    <n v="474.64672250000001"/>
    <x v="0"/>
    <x v="13"/>
    <n v="2"/>
  </r>
  <r>
    <n v="9051490"/>
    <n v="19303"/>
    <s v="Rachel Hobbs"/>
    <s v="Portsmouth"/>
    <x v="14"/>
    <x v="1"/>
    <s v="Low"/>
    <d v="2023-03-15T00:00:00"/>
    <n v="2"/>
    <n v="230.87585229999999"/>
    <n v="461.7517047"/>
    <x v="3"/>
    <x v="22"/>
    <n v="1"/>
  </r>
  <r>
    <n v="6171792"/>
    <n v="82260"/>
    <s v="John Arroyo"/>
    <s v="Portsmouth"/>
    <x v="20"/>
    <x v="0"/>
    <s v="Low"/>
    <d v="2023-09-13T00:00:00"/>
    <n v="6"/>
    <n v="76.276639860000003"/>
    <n v="457.65983920000002"/>
    <x v="0"/>
    <x v="16"/>
    <n v="2"/>
  </r>
  <r>
    <n v="9082305"/>
    <n v="47037"/>
    <s v="Mike Christensen"/>
    <s v="Portsmouth"/>
    <x v="3"/>
    <x v="1"/>
    <s v="High"/>
    <d v="2023-04-20T00:00:00"/>
    <n v="6"/>
    <n v="75.209935009999995"/>
    <n v="451.25961000000001"/>
    <x v="3"/>
    <x v="26"/>
    <n v="1"/>
  </r>
  <r>
    <n v="4958322"/>
    <n v="29178"/>
    <s v="Robert Barnes"/>
    <s v="Portsmouth"/>
    <x v="16"/>
    <x v="1"/>
    <s v="Medium"/>
    <d v="2023-09-02T00:00:00"/>
    <n v="1"/>
    <n v="447.5789312"/>
    <n v="447.5789312"/>
    <x v="3"/>
    <x v="21"/>
    <n v="4"/>
  </r>
  <r>
    <n v="9934274"/>
    <n v="48777"/>
    <s v="Donna Hodges"/>
    <s v="Portsmouth"/>
    <x v="5"/>
    <x v="0"/>
    <s v="Medium"/>
    <d v="2023-09-09T00:00:00"/>
    <n v="1"/>
    <n v="440.64780380000002"/>
    <n v="440.64780380000002"/>
    <x v="2"/>
    <x v="2"/>
    <n v="4"/>
  </r>
  <r>
    <n v="7127278"/>
    <n v="45899"/>
    <s v="Laura Butler"/>
    <s v="Portsmouth"/>
    <x v="12"/>
    <x v="1"/>
    <s v="Medium"/>
    <d v="2023-04-16T00:00:00"/>
    <n v="2"/>
    <n v="218.7749551"/>
    <n v="437.5499102"/>
    <x v="1"/>
    <x v="22"/>
    <n v="4"/>
  </r>
  <r>
    <n v="5573833"/>
    <n v="79248"/>
    <s v="Gregory Reed"/>
    <s v="Portsmouth"/>
    <x v="18"/>
    <x v="1"/>
    <s v="Medium"/>
    <d v="2023-12-27T00:00:00"/>
    <n v="2"/>
    <n v="218.73834120000001"/>
    <n v="437.47668240000002"/>
    <x v="4"/>
    <x v="13"/>
    <n v="4"/>
  </r>
  <r>
    <n v="5961798"/>
    <n v="31581"/>
    <s v="Meredith James"/>
    <s v="Portsmouth"/>
    <x v="12"/>
    <x v="0"/>
    <s v="Low"/>
    <d v="2023-03-02T00:00:00"/>
    <n v="6"/>
    <n v="72.861682630000004"/>
    <n v="437.17009580000001"/>
    <x v="2"/>
    <x v="11"/>
    <n v="3"/>
  </r>
  <r>
    <n v="3395821"/>
    <n v="62489"/>
    <s v="Sarah Jenkins"/>
    <s v="Portsmouth"/>
    <x v="50"/>
    <x v="1"/>
    <s v="Medium"/>
    <d v="2023-03-15T00:00:00"/>
    <n v="1"/>
    <n v="437.05755219999998"/>
    <n v="437.05755219999998"/>
    <x v="1"/>
    <x v="0"/>
    <n v="1"/>
  </r>
  <r>
    <n v="5604834"/>
    <n v="39167"/>
    <s v="Linda Sims"/>
    <s v="Portsmouth"/>
    <x v="45"/>
    <x v="0"/>
    <s v="Low"/>
    <d v="2023-03-04T00:00:00"/>
    <n v="1"/>
    <n v="436.05455540000003"/>
    <n v="436.05455540000003"/>
    <x v="4"/>
    <x v="4"/>
    <n v="2"/>
  </r>
  <r>
    <n v="5879553"/>
    <n v="13459"/>
    <s v="Ricky Parker"/>
    <s v="Portsmouth"/>
    <x v="16"/>
    <x v="1"/>
    <s v="Medium"/>
    <d v="2024-01-05T00:00:00"/>
    <n v="1"/>
    <n v="431.11620340000002"/>
    <n v="431.11620340000002"/>
    <x v="1"/>
    <x v="16"/>
    <n v="4"/>
  </r>
  <r>
    <n v="4143798"/>
    <n v="49192"/>
    <s v="Steven Miller"/>
    <s v="Portsmouth"/>
    <x v="25"/>
    <x v="1"/>
    <s v="Medium"/>
    <d v="2023-09-21T00:00:00"/>
    <n v="1"/>
    <n v="428.05981120000001"/>
    <n v="428.05981120000001"/>
    <x v="3"/>
    <x v="1"/>
    <n v="4"/>
  </r>
  <r>
    <n v="8670923"/>
    <n v="80071"/>
    <s v="Patricia Reese"/>
    <s v="Portsmouth"/>
    <x v="26"/>
    <x v="0"/>
    <s v="Low"/>
    <d v="2023-09-17T00:00:00"/>
    <n v="6"/>
    <n v="71.191550789999994"/>
    <n v="427.14930470000002"/>
    <x v="3"/>
    <x v="28"/>
    <n v="2"/>
  </r>
  <r>
    <n v="3892971"/>
    <n v="67690"/>
    <s v="Mark Lee"/>
    <s v="Portsmouth"/>
    <x v="23"/>
    <x v="0"/>
    <s v="Medium"/>
    <d v="2023-04-04T00:00:00"/>
    <n v="1"/>
    <n v="426.65134169999999"/>
    <n v="426.65134169999999"/>
    <x v="1"/>
    <x v="3"/>
    <n v="5"/>
  </r>
  <r>
    <n v="2896778"/>
    <n v="19537"/>
    <s v="David Parker"/>
    <s v="Portsmouth"/>
    <x v="23"/>
    <x v="0"/>
    <s v="Low"/>
    <d v="2023-10-26T00:00:00"/>
    <n v="1"/>
    <n v="426.1686042"/>
    <n v="426.1686042"/>
    <x v="4"/>
    <x v="19"/>
    <n v="1"/>
  </r>
  <r>
    <n v="2430572"/>
    <n v="71803"/>
    <s v="Alicia Knight"/>
    <s v="Portsmouth"/>
    <x v="43"/>
    <x v="0"/>
    <s v="High"/>
    <d v="2023-04-14T00:00:00"/>
    <n v="3"/>
    <n v="139.786855"/>
    <n v="419.36056509999997"/>
    <x v="0"/>
    <x v="6"/>
    <n v="3"/>
  </r>
  <r>
    <n v="6215388"/>
    <n v="66817"/>
    <s v="Richard Ortiz"/>
    <s v="Portsmouth"/>
    <x v="26"/>
    <x v="0"/>
    <s v="High"/>
    <d v="2023-05-05T00:00:00"/>
    <n v="2"/>
    <n v="209.65846160000001"/>
    <n v="419.31692329999998"/>
    <x v="4"/>
    <x v="4"/>
    <n v="2"/>
  </r>
  <r>
    <n v="7839518"/>
    <n v="22236"/>
    <s v="Vincent Lewis"/>
    <s v="Portsmouth"/>
    <x v="47"/>
    <x v="1"/>
    <s v="Medium"/>
    <d v="2023-04-03T00:00:00"/>
    <n v="1"/>
    <n v="418.65792099999999"/>
    <n v="418.65792099999999"/>
    <x v="4"/>
    <x v="19"/>
    <n v="1"/>
  </r>
  <r>
    <n v="9823195"/>
    <n v="14549"/>
    <s v="Danielle Bennett"/>
    <s v="Portsmouth"/>
    <x v="46"/>
    <x v="0"/>
    <s v="Medium"/>
    <d v="2023-11-08T00:00:00"/>
    <n v="4"/>
    <n v="104.5063373"/>
    <n v="418.02534910000003"/>
    <x v="4"/>
    <x v="3"/>
    <n v="5"/>
  </r>
  <r>
    <n v="7757654"/>
    <n v="65961"/>
    <s v="Erik Medina"/>
    <s v="Portsmouth"/>
    <x v="35"/>
    <x v="1"/>
    <s v="High"/>
    <d v="2023-07-22T00:00:00"/>
    <n v="8"/>
    <n v="51.516267659999997"/>
    <n v="412.13014129999999"/>
    <x v="3"/>
    <x v="0"/>
    <n v="2"/>
  </r>
  <r>
    <n v="4830596"/>
    <n v="74006"/>
    <s v="Gabriel Lamb"/>
    <s v="Portsmouth"/>
    <x v="14"/>
    <x v="1"/>
    <s v="Medium"/>
    <d v="2023-06-15T00:00:00"/>
    <n v="9"/>
    <n v="45.424849889999997"/>
    <n v="408.82364899999999"/>
    <x v="0"/>
    <x v="4"/>
    <n v="5"/>
  </r>
  <r>
    <n v="5590605"/>
    <n v="70727"/>
    <s v="Sara White"/>
    <s v="Portsmouth"/>
    <x v="47"/>
    <x v="0"/>
    <s v="Low"/>
    <d v="2024-01-03T00:00:00"/>
    <n v="2"/>
    <n v="204.09953849999999"/>
    <n v="408.19907690000002"/>
    <x v="4"/>
    <x v="24"/>
    <n v="2"/>
  </r>
  <r>
    <n v="8709027"/>
    <n v="17165"/>
    <s v="David Williams"/>
    <s v="Portsmouth"/>
    <x v="1"/>
    <x v="1"/>
    <s v="Medium"/>
    <d v="2023-05-19T00:00:00"/>
    <n v="9"/>
    <n v="45.318299250000003"/>
    <n v="407.86469319999998"/>
    <x v="0"/>
    <x v="27"/>
    <n v="1"/>
  </r>
  <r>
    <n v="1377119"/>
    <n v="71025"/>
    <s v="Tim Graham"/>
    <s v="Portsmouth"/>
    <x v="29"/>
    <x v="1"/>
    <s v="Medium"/>
    <d v="2024-01-29T00:00:00"/>
    <n v="1"/>
    <n v="404.13374690000001"/>
    <n v="404.13374690000001"/>
    <x v="2"/>
    <x v="13"/>
    <n v="1"/>
  </r>
  <r>
    <n v="6047927"/>
    <n v="74096"/>
    <s v="Robert Warren"/>
    <s v="Portsmouth"/>
    <x v="14"/>
    <x v="1"/>
    <s v="Low"/>
    <d v="2023-06-19T00:00:00"/>
    <n v="1"/>
    <n v="399.78712239999999"/>
    <n v="399.78712239999999"/>
    <x v="2"/>
    <x v="21"/>
    <n v="4"/>
  </r>
  <r>
    <n v="3112881"/>
    <n v="40113"/>
    <s v="Jack Davies"/>
    <s v="Portsmouth"/>
    <x v="9"/>
    <x v="0"/>
    <s v="Low"/>
    <d v="2023-10-14T00:00:00"/>
    <n v="1"/>
    <n v="397.11996490000001"/>
    <n v="397.11996490000001"/>
    <x v="1"/>
    <x v="20"/>
    <n v="2"/>
  </r>
  <r>
    <n v="6649934"/>
    <n v="14855"/>
    <s v="Kimberly Holloway"/>
    <s v="Portsmouth"/>
    <x v="31"/>
    <x v="0"/>
    <s v="Medium"/>
    <d v="2023-10-10T00:00:00"/>
    <n v="2"/>
    <n v="194.66854079999999"/>
    <n v="389.33708159999998"/>
    <x v="2"/>
    <x v="18"/>
    <n v="2"/>
  </r>
  <r>
    <n v="1787881"/>
    <n v="45693"/>
    <s v="Melinda Moore"/>
    <s v="Portsmouth"/>
    <x v="18"/>
    <x v="1"/>
    <s v="Low"/>
    <d v="2023-11-11T00:00:00"/>
    <n v="7"/>
    <n v="54.659264460000003"/>
    <n v="382.61485119999998"/>
    <x v="2"/>
    <x v="0"/>
    <n v="1"/>
  </r>
  <r>
    <n v="8579093"/>
    <n v="11135"/>
    <s v="Brenda Webster"/>
    <s v="Portsmouth"/>
    <x v="38"/>
    <x v="1"/>
    <s v="Low"/>
    <d v="2024-02-29T00:00:00"/>
    <n v="4"/>
    <n v="95.456214110000005"/>
    <n v="381.82485639999999"/>
    <x v="4"/>
    <x v="0"/>
    <n v="3"/>
  </r>
  <r>
    <n v="1194954"/>
    <n v="13566"/>
    <s v="Maria Johnson"/>
    <s v="Portsmouth"/>
    <x v="27"/>
    <x v="0"/>
    <s v="Low"/>
    <d v="2023-07-03T00:00:00"/>
    <n v="1"/>
    <n v="377.61376890000003"/>
    <n v="377.61376890000003"/>
    <x v="3"/>
    <x v="10"/>
    <n v="3"/>
  </r>
  <r>
    <n v="1609659"/>
    <n v="66883"/>
    <s v="Brianna Oconnor"/>
    <s v="Portsmouth"/>
    <x v="30"/>
    <x v="0"/>
    <s v="Medium"/>
    <d v="2023-06-21T00:00:00"/>
    <n v="1"/>
    <n v="364.83056690000001"/>
    <n v="364.83056690000001"/>
    <x v="3"/>
    <x v="2"/>
    <n v="2"/>
  </r>
  <r>
    <n v="8493213"/>
    <n v="19136"/>
    <s v="Jonathan Eaton"/>
    <s v="Portsmouth"/>
    <x v="19"/>
    <x v="0"/>
    <s v="Low"/>
    <d v="2023-07-20T00:00:00"/>
    <n v="4"/>
    <n v="90.981869750000001"/>
    <n v="363.92747900000001"/>
    <x v="1"/>
    <x v="28"/>
    <n v="2"/>
  </r>
  <r>
    <n v="6146438"/>
    <n v="84556"/>
    <s v="Rebecca Alvarado"/>
    <s v="Portsmouth"/>
    <x v="47"/>
    <x v="1"/>
    <s v="Medium"/>
    <d v="2023-11-19T00:00:00"/>
    <n v="1"/>
    <n v="357.67803709999998"/>
    <n v="357.67803709999998"/>
    <x v="1"/>
    <x v="20"/>
    <n v="5"/>
  </r>
  <r>
    <n v="9329957"/>
    <n v="55159"/>
    <s v="Ellen Simpson"/>
    <s v="Portsmouth"/>
    <x v="11"/>
    <x v="1"/>
    <s v="Medium"/>
    <d v="2024-02-06T00:00:00"/>
    <n v="1"/>
    <n v="354.69518169999998"/>
    <n v="354.69518169999998"/>
    <x v="2"/>
    <x v="4"/>
    <n v="4"/>
  </r>
  <r>
    <n v="2286430"/>
    <n v="42358"/>
    <s v="Melissa Williams"/>
    <s v="Portsmouth"/>
    <x v="18"/>
    <x v="0"/>
    <s v="High"/>
    <d v="2023-03-29T00:00:00"/>
    <n v="2"/>
    <n v="174.9739514"/>
    <n v="349.94790289999997"/>
    <x v="4"/>
    <x v="8"/>
    <n v="3"/>
  </r>
  <r>
    <n v="9082675"/>
    <n v="56459"/>
    <s v="Tyler Lopez"/>
    <s v="Portsmouth"/>
    <x v="44"/>
    <x v="1"/>
    <s v="Medium"/>
    <d v="2023-10-06T00:00:00"/>
    <n v="3"/>
    <n v="112.2262928"/>
    <n v="336.6788785"/>
    <x v="4"/>
    <x v="22"/>
    <n v="1"/>
  </r>
  <r>
    <n v="5648072"/>
    <n v="89211"/>
    <s v="Derrick Baker"/>
    <s v="Portsmouth"/>
    <x v="51"/>
    <x v="0"/>
    <s v="Medium"/>
    <d v="2024-02-25T00:00:00"/>
    <n v="2"/>
    <n v="168.017706"/>
    <n v="336.03541200000001"/>
    <x v="1"/>
    <x v="3"/>
    <n v="1"/>
  </r>
  <r>
    <n v="5256338"/>
    <n v="75024"/>
    <s v="Alicia Spencer"/>
    <s v="Portsmouth"/>
    <x v="40"/>
    <x v="1"/>
    <s v="Low"/>
    <d v="2023-05-31T00:00:00"/>
    <n v="1"/>
    <n v="331.83922819999998"/>
    <n v="331.83922819999998"/>
    <x v="0"/>
    <x v="19"/>
    <n v="4"/>
  </r>
  <r>
    <n v="6615647"/>
    <n v="50869"/>
    <s v="Christina Taylor"/>
    <s v="Portsmouth"/>
    <x v="46"/>
    <x v="1"/>
    <s v="Low"/>
    <d v="2024-02-17T00:00:00"/>
    <n v="10"/>
    <n v="32.975938149999998"/>
    <n v="329.75938150000002"/>
    <x v="3"/>
    <x v="6"/>
    <n v="1"/>
  </r>
  <r>
    <n v="8691788"/>
    <n v="37249"/>
    <s v="Michelle Harrington"/>
    <s v="Dortmund"/>
    <x v="22"/>
    <x v="1"/>
    <s v="Low"/>
    <d v="2023-09-18T00:00:00"/>
    <n v="3"/>
    <n v="108.0287567"/>
    <n v="324.08627000000001"/>
    <x v="4"/>
    <x v="8"/>
    <n v="5"/>
  </r>
  <r>
    <n v="4138830"/>
    <n v="17705"/>
    <s v="Michelle Simmons"/>
    <s v="Portsmouth"/>
    <x v="46"/>
    <x v="1"/>
    <s v="Low"/>
    <d v="2023-07-14T00:00:00"/>
    <n v="5"/>
    <n v="64.802432789999997"/>
    <n v="324.01216390000002"/>
    <x v="3"/>
    <x v="2"/>
    <n v="5"/>
  </r>
  <r>
    <n v="3601539"/>
    <n v="93979"/>
    <s v="Sarah Hess"/>
    <s v="Portsmouth"/>
    <x v="52"/>
    <x v="0"/>
    <s v="Low"/>
    <d v="2024-01-09T00:00:00"/>
    <n v="10"/>
    <n v="32.115559070000003"/>
    <n v="321.1555907"/>
    <x v="2"/>
    <x v="20"/>
    <n v="2"/>
  </r>
  <r>
    <n v="4963956"/>
    <n v="98120"/>
    <s v="Michelle Spears"/>
    <s v="Portsmouth"/>
    <x v="17"/>
    <x v="1"/>
    <s v="Medium"/>
    <d v="2023-10-08T00:00:00"/>
    <n v="8"/>
    <n v="39.853110950000001"/>
    <n v="318.82488760000001"/>
    <x v="4"/>
    <x v="28"/>
    <n v="3"/>
  </r>
  <r>
    <n v="8342496"/>
    <n v="43083"/>
    <s v="Raymond Hobbs"/>
    <s v="Portsmouth"/>
    <x v="47"/>
    <x v="1"/>
    <s v="Low"/>
    <d v="2023-05-08T00:00:00"/>
    <n v="2"/>
    <n v="158.79170339999999"/>
    <n v="317.58340670000001"/>
    <x v="4"/>
    <x v="12"/>
    <n v="4"/>
  </r>
  <r>
    <n v="5343974"/>
    <n v="66428"/>
    <s v="Jacob Arnold"/>
    <s v="Portsmouth"/>
    <x v="42"/>
    <x v="0"/>
    <s v="Medium"/>
    <d v="2023-11-28T00:00:00"/>
    <n v="1"/>
    <n v="315.7222744"/>
    <n v="315.7222744"/>
    <x v="2"/>
    <x v="4"/>
    <n v="1"/>
  </r>
  <r>
    <n v="6176628"/>
    <n v="74784"/>
    <s v="Donna Miller"/>
    <s v="Portsmouth"/>
    <x v="43"/>
    <x v="1"/>
    <s v="Medium"/>
    <d v="2023-04-11T00:00:00"/>
    <n v="5"/>
    <n v="62.318516099999997"/>
    <n v="311.5925805"/>
    <x v="2"/>
    <x v="18"/>
    <n v="5"/>
  </r>
  <r>
    <n v="6135513"/>
    <n v="83016"/>
    <s v="Shannon Lopez MD"/>
    <s v="Portsmouth"/>
    <x v="34"/>
    <x v="0"/>
    <s v="Low"/>
    <d v="2023-12-19T00:00:00"/>
    <n v="5"/>
    <n v="62.163534200000001"/>
    <n v="310.81767100000002"/>
    <x v="3"/>
    <x v="20"/>
    <n v="2"/>
  </r>
  <r>
    <n v="5992046"/>
    <n v="30637"/>
    <s v="Mike Orozco"/>
    <s v="Portsmouth"/>
    <x v="37"/>
    <x v="0"/>
    <s v="High"/>
    <d v="2024-02-08T00:00:00"/>
    <n v="7"/>
    <n v="44.33018431"/>
    <n v="310.31129019999997"/>
    <x v="2"/>
    <x v="19"/>
    <n v="4"/>
  </r>
  <r>
    <n v="1295338"/>
    <n v="94652"/>
    <s v="Elizabeth Fisher"/>
    <s v="Portsmouth"/>
    <x v="43"/>
    <x v="1"/>
    <s v="Medium"/>
    <d v="2023-12-17T00:00:00"/>
    <n v="2"/>
    <n v="152.57366579999999"/>
    <n v="305.14733150000001"/>
    <x v="2"/>
    <x v="3"/>
    <n v="5"/>
  </r>
  <r>
    <n v="2981505"/>
    <n v="82037"/>
    <s v="Jennifer Stone"/>
    <s v="Portsmouth"/>
    <x v="0"/>
    <x v="1"/>
    <s v="Low"/>
    <d v="2023-11-26T00:00:00"/>
    <n v="1"/>
    <n v="302.87176570000003"/>
    <n v="302.87176570000003"/>
    <x v="3"/>
    <x v="6"/>
    <n v="1"/>
  </r>
  <r>
    <n v="3752112"/>
    <n v="28830"/>
    <s v="Patricia Thompson"/>
    <s v="Portsmouth"/>
    <x v="37"/>
    <x v="1"/>
    <s v="Medium"/>
    <d v="2023-12-04T00:00:00"/>
    <n v="1"/>
    <n v="297.07786929999997"/>
    <n v="297.07786929999997"/>
    <x v="3"/>
    <x v="2"/>
    <n v="4"/>
  </r>
  <r>
    <n v="6408692"/>
    <n v="90935"/>
    <s v="Raymond Avila"/>
    <s v="Portsmouth"/>
    <x v="28"/>
    <x v="0"/>
    <s v="Low"/>
    <d v="2023-11-26T00:00:00"/>
    <n v="2"/>
    <n v="147.09823410000001"/>
    <n v="294.19646829999999"/>
    <x v="4"/>
    <x v="9"/>
    <n v="3"/>
  </r>
  <r>
    <n v="6387070"/>
    <n v="93214"/>
    <s v="Donald Alvarez"/>
    <s v="Portsmouth"/>
    <x v="7"/>
    <x v="1"/>
    <s v="Medium"/>
    <d v="2023-09-01T00:00:00"/>
    <n v="1"/>
    <n v="292.24568909999999"/>
    <n v="292.24568909999999"/>
    <x v="3"/>
    <x v="11"/>
    <n v="2"/>
  </r>
  <r>
    <n v="9846574"/>
    <n v="30224"/>
    <s v="Mary Garcia"/>
    <s v="Portsmouth"/>
    <x v="31"/>
    <x v="0"/>
    <s v="Low"/>
    <d v="2023-11-23T00:00:00"/>
    <n v="2"/>
    <n v="143.62217889999999"/>
    <n v="287.24435779999999"/>
    <x v="3"/>
    <x v="22"/>
    <n v="4"/>
  </r>
  <r>
    <n v="1464706"/>
    <n v="78184"/>
    <s v="Joseph Willis"/>
    <s v="Portsmouth"/>
    <x v="15"/>
    <x v="0"/>
    <s v="Medium"/>
    <d v="2023-08-05T00:00:00"/>
    <n v="10"/>
    <n v="28.559723609999999"/>
    <n v="285.59723609999998"/>
    <x v="4"/>
    <x v="26"/>
    <n v="1"/>
  </r>
  <r>
    <n v="9885863"/>
    <n v="46361"/>
    <s v="Priscilla Wiggins"/>
    <s v="Portsmouth"/>
    <x v="2"/>
    <x v="1"/>
    <s v="High"/>
    <d v="2023-11-05T00:00:00"/>
    <n v="2"/>
    <n v="141.21436550000001"/>
    <n v="282.42873090000001"/>
    <x v="2"/>
    <x v="22"/>
    <n v="5"/>
  </r>
  <r>
    <n v="9193737"/>
    <n v="45455"/>
    <s v="Katherine Stuart"/>
    <s v="Portsmouth"/>
    <x v="23"/>
    <x v="0"/>
    <s v="Low"/>
    <d v="2023-07-25T00:00:00"/>
    <n v="1"/>
    <n v="275.72022070000003"/>
    <n v="275.72022070000003"/>
    <x v="0"/>
    <x v="15"/>
    <n v="2"/>
  </r>
  <r>
    <n v="4207259"/>
    <n v="16846"/>
    <s v="Fernando Lawson"/>
    <s v="Portsmouth"/>
    <x v="5"/>
    <x v="1"/>
    <s v="Medium"/>
    <d v="2023-08-29T00:00:00"/>
    <n v="3"/>
    <n v="89.236389250000002"/>
    <n v="267.70916779999999"/>
    <x v="2"/>
    <x v="17"/>
    <n v="2"/>
  </r>
  <r>
    <n v="7491247"/>
    <n v="12884"/>
    <s v="Joseph Barnes"/>
    <s v="Portsmouth"/>
    <x v="47"/>
    <x v="1"/>
    <s v="High"/>
    <d v="2023-05-06T00:00:00"/>
    <n v="1"/>
    <n v="265.66431920000002"/>
    <n v="265.66431920000002"/>
    <x v="3"/>
    <x v="1"/>
    <n v="5"/>
  </r>
  <r>
    <n v="1625398"/>
    <n v="76133"/>
    <s v="Cathy Cooper"/>
    <s v="Portsmouth"/>
    <x v="22"/>
    <x v="0"/>
    <s v="Medium"/>
    <d v="2024-02-27T00:00:00"/>
    <n v="7"/>
    <n v="37.716064809999999"/>
    <n v="264.01245369999998"/>
    <x v="0"/>
    <x v="14"/>
    <n v="2"/>
  </r>
  <r>
    <n v="6199408"/>
    <n v="41508"/>
    <s v="William Ramos"/>
    <s v="Portsmouth"/>
    <x v="38"/>
    <x v="1"/>
    <s v="Medium"/>
    <d v="2024-01-03T00:00:00"/>
    <n v="2"/>
    <n v="131.20250659999999"/>
    <n v="262.40501319999998"/>
    <x v="4"/>
    <x v="20"/>
    <n v="5"/>
  </r>
  <r>
    <n v="7988107"/>
    <n v="82671"/>
    <s v="Joshua Grimes"/>
    <s v="Portsmouth"/>
    <x v="11"/>
    <x v="1"/>
    <s v="Medium"/>
    <d v="2024-02-06T00:00:00"/>
    <n v="9"/>
    <n v="28.929106390000001"/>
    <n v="260.36195750000002"/>
    <x v="3"/>
    <x v="6"/>
    <n v="4"/>
  </r>
  <r>
    <n v="5471383"/>
    <n v="52839"/>
    <s v="Jerry Burns"/>
    <s v="Portsmouth"/>
    <x v="2"/>
    <x v="1"/>
    <s v="Low"/>
    <d v="2023-06-10T00:00:00"/>
    <n v="9"/>
    <n v="28.56114123"/>
    <n v="257.05027109999997"/>
    <x v="4"/>
    <x v="2"/>
    <n v="3"/>
  </r>
  <r>
    <n v="4427458"/>
    <n v="97683"/>
    <s v="Dr. Chad Lindsey"/>
    <s v="Portsmouth"/>
    <x v="30"/>
    <x v="0"/>
    <s v="Low"/>
    <d v="2023-11-04T00:00:00"/>
    <n v="3"/>
    <n v="85.156932459999993"/>
    <n v="255.47079740000001"/>
    <x v="1"/>
    <x v="13"/>
    <n v="2"/>
  </r>
  <r>
    <n v="9661702"/>
    <n v="11381"/>
    <s v="Jillian Perez"/>
    <s v="Portsmouth"/>
    <x v="47"/>
    <x v="1"/>
    <s v="Medium"/>
    <d v="2023-06-02T00:00:00"/>
    <n v="2"/>
    <n v="127.155022"/>
    <n v="254.3100441"/>
    <x v="2"/>
    <x v="15"/>
    <n v="1"/>
  </r>
  <r>
    <n v="5050125"/>
    <n v="14196"/>
    <s v="Michael Perkins"/>
    <s v="Portsmouth"/>
    <x v="38"/>
    <x v="1"/>
    <s v="High"/>
    <d v="2023-09-12T00:00:00"/>
    <n v="1"/>
    <n v="253.0541571"/>
    <n v="253.0541571"/>
    <x v="3"/>
    <x v="14"/>
    <n v="2"/>
  </r>
  <r>
    <n v="5212805"/>
    <n v="13082"/>
    <s v="Daniel Patel"/>
    <s v="Portsmouth"/>
    <x v="38"/>
    <x v="1"/>
    <s v="High"/>
    <d v="2024-02-15T00:00:00"/>
    <n v="8"/>
    <n v="31.565014959999999"/>
    <n v="252.52011959999999"/>
    <x v="3"/>
    <x v="27"/>
    <n v="2"/>
  </r>
  <r>
    <n v="3565493"/>
    <n v="16049"/>
    <s v="Elizabeth Clark"/>
    <s v="Portsmouth"/>
    <x v="49"/>
    <x v="1"/>
    <s v="Medium"/>
    <d v="2023-11-09T00:00:00"/>
    <n v="1"/>
    <n v="250.69217990000001"/>
    <n v="250.69217990000001"/>
    <x v="4"/>
    <x v="17"/>
    <n v="2"/>
  </r>
  <r>
    <n v="7478681"/>
    <n v="73823"/>
    <s v="Sarah Chase"/>
    <s v="Portsmouth"/>
    <x v="43"/>
    <x v="0"/>
    <s v="Medium"/>
    <d v="2023-11-23T00:00:00"/>
    <n v="1"/>
    <n v="249.61483419999999"/>
    <n v="249.61483419999999"/>
    <x v="4"/>
    <x v="4"/>
    <n v="5"/>
  </r>
  <r>
    <n v="4983775"/>
    <n v="27901"/>
    <s v="Debra Coleman"/>
    <s v="Bristol"/>
    <x v="4"/>
    <x v="1"/>
    <s v="Low"/>
    <d v="2024-01-10T00:00:00"/>
    <n v="2"/>
    <n v="124.27652449999999"/>
    <n v="248.55304910000001"/>
    <x v="4"/>
    <x v="18"/>
    <n v="1"/>
  </r>
  <r>
    <n v="9255871"/>
    <n v="96814"/>
    <s v="Michelle Bright"/>
    <s v="Portsmouth"/>
    <x v="51"/>
    <x v="1"/>
    <s v="High"/>
    <d v="2024-02-05T00:00:00"/>
    <n v="1"/>
    <n v="246.1520185"/>
    <n v="246.1520185"/>
    <x v="4"/>
    <x v="24"/>
    <n v="1"/>
  </r>
  <r>
    <n v="2000637"/>
    <n v="78399"/>
    <s v="Linda Barnett"/>
    <s v="Portsmouth"/>
    <x v="33"/>
    <x v="0"/>
    <s v="Low"/>
    <d v="2023-12-08T00:00:00"/>
    <n v="2"/>
    <n v="122.3768951"/>
    <n v="244.7537902"/>
    <x v="2"/>
    <x v="26"/>
    <n v="2"/>
  </r>
  <r>
    <n v="2458233"/>
    <n v="96840"/>
    <s v="Susan Thomas"/>
    <s v="Portsmouth"/>
    <x v="48"/>
    <x v="1"/>
    <s v="Low"/>
    <d v="2023-10-29T00:00:00"/>
    <n v="8"/>
    <n v="28.82551058"/>
    <n v="230.60408469999999"/>
    <x v="1"/>
    <x v="13"/>
    <n v="4"/>
  </r>
  <r>
    <n v="7726505"/>
    <n v="53375"/>
    <s v="Chad Myers"/>
    <s v="Portsmouth"/>
    <x v="46"/>
    <x v="0"/>
    <s v="Medium"/>
    <d v="2023-06-07T00:00:00"/>
    <n v="3"/>
    <n v="76.383210169999998"/>
    <n v="229.1496305"/>
    <x v="2"/>
    <x v="2"/>
    <n v="1"/>
  </r>
  <r>
    <n v="3073877"/>
    <n v="24469"/>
    <s v="Christopher Whitney"/>
    <s v="Portsmouth"/>
    <x v="37"/>
    <x v="1"/>
    <s v="Medium"/>
    <d v="2023-09-01T00:00:00"/>
    <n v="3"/>
    <n v="76.057650870000003"/>
    <n v="228.1729526"/>
    <x v="3"/>
    <x v="19"/>
    <n v="4"/>
  </r>
  <r>
    <n v="9129532"/>
    <n v="11029"/>
    <s v="John Phillips"/>
    <s v="Portsmouth"/>
    <x v="43"/>
    <x v="0"/>
    <s v="Medium"/>
    <d v="2023-05-09T00:00:00"/>
    <n v="1"/>
    <n v="226.807244"/>
    <n v="226.807244"/>
    <x v="3"/>
    <x v="3"/>
    <n v="4"/>
  </r>
  <r>
    <n v="4440264"/>
    <n v="68648"/>
    <s v="Dennis Johnson"/>
    <s v="Portsmouth"/>
    <x v="23"/>
    <x v="1"/>
    <s v="Low"/>
    <d v="2023-03-04T00:00:00"/>
    <n v="6"/>
    <n v="37.40545462"/>
    <n v="224.43272769999999"/>
    <x v="1"/>
    <x v="10"/>
    <n v="2"/>
  </r>
  <r>
    <n v="2171546"/>
    <n v="42831"/>
    <s v="Ian West"/>
    <s v="Portsmouth"/>
    <x v="16"/>
    <x v="1"/>
    <s v="Medium"/>
    <d v="2023-12-11T00:00:00"/>
    <n v="5"/>
    <n v="44.645223979999997"/>
    <n v="223.22611989999999"/>
    <x v="0"/>
    <x v="27"/>
    <n v="3"/>
  </r>
  <r>
    <n v="1469346"/>
    <n v="84395"/>
    <s v="Kenneth Parker"/>
    <s v="Portsmouth"/>
    <x v="16"/>
    <x v="1"/>
    <s v="Low"/>
    <d v="2024-02-04T00:00:00"/>
    <n v="4"/>
    <n v="55.444171859999997"/>
    <n v="221.77668739999999"/>
    <x v="1"/>
    <x v="15"/>
    <n v="4"/>
  </r>
  <r>
    <n v="3270773"/>
    <n v="96867"/>
    <s v="Gerald Andrews"/>
    <s v="Portsmouth"/>
    <x v="22"/>
    <x v="0"/>
    <s v="Medium"/>
    <d v="2024-01-07T00:00:00"/>
    <n v="1"/>
    <n v="213.67942339999999"/>
    <n v="213.67942339999999"/>
    <x v="2"/>
    <x v="8"/>
    <n v="1"/>
  </r>
  <r>
    <n v="8942113"/>
    <n v="72626"/>
    <s v="Daniel Morgan"/>
    <s v="Portsmouth"/>
    <x v="32"/>
    <x v="1"/>
    <s v="Medium"/>
    <d v="2024-01-25T00:00:00"/>
    <n v="1"/>
    <n v="212.30246589999999"/>
    <n v="212.30246589999999"/>
    <x v="1"/>
    <x v="29"/>
    <n v="2"/>
  </r>
  <r>
    <n v="7728099"/>
    <n v="78376"/>
    <s v="Ronald Chen"/>
    <s v="Portsmouth"/>
    <x v="24"/>
    <x v="1"/>
    <s v="Low"/>
    <d v="2024-02-07T00:00:00"/>
    <n v="1"/>
    <n v="210.13791879999999"/>
    <n v="210.13791879999999"/>
    <x v="1"/>
    <x v="4"/>
    <n v="1"/>
  </r>
  <r>
    <n v="8221142"/>
    <n v="56437"/>
    <s v="Diana Barton"/>
    <s v="Portsmouth"/>
    <x v="51"/>
    <x v="0"/>
    <s v="Medium"/>
    <d v="2023-07-09T00:00:00"/>
    <n v="7"/>
    <n v="29.756834210000001"/>
    <n v="208.29783950000001"/>
    <x v="2"/>
    <x v="3"/>
    <n v="2"/>
  </r>
  <r>
    <n v="4673562"/>
    <n v="43571"/>
    <s v="Ryan Graham"/>
    <s v="Portsmouth"/>
    <x v="44"/>
    <x v="1"/>
    <s v="Low"/>
    <d v="2023-12-08T00:00:00"/>
    <n v="1"/>
    <n v="207.0866948"/>
    <n v="207.0866948"/>
    <x v="1"/>
    <x v="2"/>
    <n v="2"/>
  </r>
  <r>
    <n v="2055036"/>
    <n v="25848"/>
    <s v="Emma Palmer"/>
    <s v="Portsmouth"/>
    <x v="47"/>
    <x v="1"/>
    <s v="High"/>
    <d v="2024-02-21T00:00:00"/>
    <n v="10"/>
    <n v="20.528536769999999"/>
    <n v="205.28536769999999"/>
    <x v="1"/>
    <x v="4"/>
    <n v="4"/>
  </r>
  <r>
    <n v="9476855"/>
    <n v="42410"/>
    <s v="Anthony Rodriguez"/>
    <s v="Portsmouth"/>
    <x v="22"/>
    <x v="0"/>
    <s v="Low"/>
    <d v="2024-02-03T00:00:00"/>
    <n v="6"/>
    <n v="34.124266310000003"/>
    <n v="204.74559790000001"/>
    <x v="3"/>
    <x v="2"/>
    <n v="2"/>
  </r>
  <r>
    <n v="2110835"/>
    <n v="38014"/>
    <s v="Michael Anderson"/>
    <s v="Portsmouth"/>
    <x v="34"/>
    <x v="1"/>
    <s v="High"/>
    <d v="2023-09-20T00:00:00"/>
    <n v="2"/>
    <n v="99.002390939999998"/>
    <n v="198.00478190000001"/>
    <x v="0"/>
    <x v="12"/>
    <n v="2"/>
  </r>
  <r>
    <n v="6343277"/>
    <n v="98301"/>
    <s v="David Gill"/>
    <s v="Portsmouth"/>
    <x v="49"/>
    <x v="1"/>
    <s v="Low"/>
    <d v="2023-03-27T00:00:00"/>
    <n v="1"/>
    <n v="196.9273522"/>
    <n v="196.9273522"/>
    <x v="0"/>
    <x v="2"/>
    <n v="3"/>
  </r>
  <r>
    <n v="7850231"/>
    <n v="84982"/>
    <s v="Sylvia Garcia"/>
    <s v="Portsmouth"/>
    <x v="17"/>
    <x v="0"/>
    <s v="Low"/>
    <d v="2024-01-06T00:00:00"/>
    <n v="2"/>
    <n v="98.220574679999999"/>
    <n v="196.4411494"/>
    <x v="3"/>
    <x v="0"/>
    <n v="1"/>
  </r>
  <r>
    <n v="3406772"/>
    <n v="41496"/>
    <s v="Olivia Russell"/>
    <s v="Portsmouth"/>
    <x v="40"/>
    <x v="1"/>
    <s v="High"/>
    <d v="2023-06-17T00:00:00"/>
    <n v="1"/>
    <n v="195.8041139"/>
    <n v="195.8041139"/>
    <x v="1"/>
    <x v="0"/>
    <n v="1"/>
  </r>
  <r>
    <n v="1803037"/>
    <n v="69500"/>
    <s v="Brian Ortiz"/>
    <s v="Portsmouth"/>
    <x v="25"/>
    <x v="1"/>
    <s v="Low"/>
    <d v="2023-03-15T00:00:00"/>
    <n v="1"/>
    <n v="195.64080580000001"/>
    <n v="195.64080580000001"/>
    <x v="0"/>
    <x v="3"/>
    <n v="1"/>
  </r>
  <r>
    <n v="6964312"/>
    <n v="72646"/>
    <s v="Kimberly Walker"/>
    <s v="Portsmouth"/>
    <x v="5"/>
    <x v="0"/>
    <s v="Low"/>
    <d v="2023-03-12T00:00:00"/>
    <n v="8"/>
    <n v="23.94875369"/>
    <n v="191.59002950000001"/>
    <x v="3"/>
    <x v="23"/>
    <n v="2"/>
  </r>
  <r>
    <n v="5575470"/>
    <n v="21352"/>
    <s v="Denise Ellison"/>
    <s v="Portsmouth"/>
    <x v="53"/>
    <x v="1"/>
    <s v="Low"/>
    <d v="2023-03-04T00:00:00"/>
    <n v="1"/>
    <n v="191.2814448"/>
    <n v="191.2814448"/>
    <x v="2"/>
    <x v="19"/>
    <n v="4"/>
  </r>
  <r>
    <n v="2115776"/>
    <n v="39581"/>
    <s v="Ryan Richmond DVM"/>
    <s v="Portsmouth"/>
    <x v="40"/>
    <x v="1"/>
    <s v="Medium"/>
    <d v="2023-08-09T00:00:00"/>
    <n v="1"/>
    <n v="190.32789829999999"/>
    <n v="190.32789829999999"/>
    <x v="4"/>
    <x v="0"/>
    <n v="1"/>
  </r>
  <r>
    <n v="5104546"/>
    <n v="25605"/>
    <s v="Jim Hansen"/>
    <s v="Portsmouth"/>
    <x v="21"/>
    <x v="1"/>
    <s v="Low"/>
    <d v="2023-12-15T00:00:00"/>
    <n v="2"/>
    <n v="92.295434150000006"/>
    <n v="184.59086830000001"/>
    <x v="0"/>
    <x v="25"/>
    <n v="4"/>
  </r>
  <r>
    <n v="1570299"/>
    <n v="83650"/>
    <s v="Alexander Padilla"/>
    <s v="Portsmouth"/>
    <x v="2"/>
    <x v="1"/>
    <s v="Low"/>
    <d v="2023-06-18T00:00:00"/>
    <n v="2"/>
    <n v="90.655261240000002"/>
    <n v="181.31052249999999"/>
    <x v="0"/>
    <x v="7"/>
    <n v="1"/>
  </r>
  <r>
    <n v="7567107"/>
    <n v="27353"/>
    <s v="Mrs. Maria Patrick"/>
    <s v="Portsmouth"/>
    <x v="21"/>
    <x v="0"/>
    <s v="Low"/>
    <d v="2023-10-30T00:00:00"/>
    <n v="1"/>
    <n v="180.1567737"/>
    <n v="180.1567737"/>
    <x v="1"/>
    <x v="27"/>
    <n v="3"/>
  </r>
  <r>
    <n v="4138405"/>
    <n v="77374"/>
    <s v="Crystal Vasquez"/>
    <s v="Portsmouth"/>
    <x v="5"/>
    <x v="0"/>
    <s v="High"/>
    <d v="2023-09-24T00:00:00"/>
    <n v="1"/>
    <n v="179.71356840000001"/>
    <n v="179.71356840000001"/>
    <x v="4"/>
    <x v="0"/>
    <n v="4"/>
  </r>
  <r>
    <n v="4725198"/>
    <n v="28381"/>
    <s v="Kimberly Evans"/>
    <s v="Portsmouth"/>
    <x v="49"/>
    <x v="1"/>
    <s v="High"/>
    <d v="2023-06-03T00:00:00"/>
    <n v="1"/>
    <n v="173.57073790000001"/>
    <n v="173.57073790000001"/>
    <x v="2"/>
    <x v="15"/>
    <n v="3"/>
  </r>
  <r>
    <n v="6752816"/>
    <n v="50126"/>
    <s v="Brianna Murray"/>
    <s v="Portsmouth"/>
    <x v="34"/>
    <x v="0"/>
    <s v="Low"/>
    <d v="2023-12-20T00:00:00"/>
    <n v="1"/>
    <n v="171.2626583"/>
    <n v="171.2626583"/>
    <x v="3"/>
    <x v="15"/>
    <n v="1"/>
  </r>
  <r>
    <n v="1330153"/>
    <n v="12267"/>
    <s v="Shawna Perez"/>
    <s v="Portsmouth"/>
    <x v="18"/>
    <x v="1"/>
    <s v="High"/>
    <d v="2024-01-15T00:00:00"/>
    <n v="1"/>
    <n v="162.86564390000001"/>
    <n v="162.86564390000001"/>
    <x v="4"/>
    <x v="29"/>
    <n v="1"/>
  </r>
  <r>
    <n v="9484842"/>
    <n v="17558"/>
    <s v="William Lee"/>
    <s v="Portsmouth"/>
    <x v="17"/>
    <x v="1"/>
    <s v="Low"/>
    <d v="2023-03-23T00:00:00"/>
    <n v="8"/>
    <n v="19.821976830000001"/>
    <n v="158.5758147"/>
    <x v="2"/>
    <x v="13"/>
    <n v="4"/>
  </r>
  <r>
    <n v="8071729"/>
    <n v="90796"/>
    <s v="Dawn Rodriguez"/>
    <s v="Portsmouth"/>
    <x v="44"/>
    <x v="1"/>
    <s v="Low"/>
    <d v="2023-11-06T00:00:00"/>
    <n v="1"/>
    <n v="158.4289608"/>
    <n v="158.4289608"/>
    <x v="0"/>
    <x v="8"/>
    <n v="3"/>
  </r>
  <r>
    <n v="1238495"/>
    <n v="28128"/>
    <s v="Mark Frazier"/>
    <s v="Portsmouth"/>
    <x v="48"/>
    <x v="1"/>
    <s v="Low"/>
    <d v="2024-02-23T00:00:00"/>
    <n v="1"/>
    <n v="155.88635819999999"/>
    <n v="155.88635819999999"/>
    <x v="4"/>
    <x v="7"/>
    <n v="4"/>
  </r>
  <r>
    <n v="6516806"/>
    <n v="27104"/>
    <s v="Jillian Jackson"/>
    <s v="Portsmouth"/>
    <x v="43"/>
    <x v="0"/>
    <s v="Low"/>
    <d v="2023-03-11T00:00:00"/>
    <n v="2"/>
    <n v="76.443200279999999"/>
    <n v="152.8864006"/>
    <x v="4"/>
    <x v="1"/>
    <n v="4"/>
  </r>
  <r>
    <n v="6923123"/>
    <n v="40667"/>
    <s v="Elijah Yoder"/>
    <s v="Portsmouth"/>
    <x v="7"/>
    <x v="1"/>
    <s v="Medium"/>
    <d v="2023-08-07T00:00:00"/>
    <n v="3"/>
    <n v="49.25146702"/>
    <n v="147.7544011"/>
    <x v="4"/>
    <x v="22"/>
    <n v="2"/>
  </r>
  <r>
    <n v="6681000"/>
    <n v="69939"/>
    <s v="Jessica Harrison"/>
    <s v="Portsmouth"/>
    <x v="50"/>
    <x v="1"/>
    <s v="Low"/>
    <d v="2023-07-01T00:00:00"/>
    <n v="10"/>
    <n v="14.72716425"/>
    <n v="147.27164250000001"/>
    <x v="2"/>
    <x v="20"/>
    <n v="2"/>
  </r>
  <r>
    <n v="9858337"/>
    <n v="29333"/>
    <s v="Justin Jackson"/>
    <s v="Portsmouth"/>
    <x v="20"/>
    <x v="1"/>
    <s v="Low"/>
    <d v="2023-04-25T00:00:00"/>
    <n v="1"/>
    <n v="147.15828680000001"/>
    <n v="147.15828680000001"/>
    <x v="1"/>
    <x v="16"/>
    <n v="3"/>
  </r>
  <r>
    <n v="4578976"/>
    <n v="13610"/>
    <s v="Roberta Ford"/>
    <s v="Portsmouth"/>
    <x v="25"/>
    <x v="1"/>
    <s v="Low"/>
    <d v="2023-04-29T00:00:00"/>
    <n v="1"/>
    <n v="145.05461199999999"/>
    <n v="145.05461199999999"/>
    <x v="1"/>
    <x v="2"/>
    <n v="3"/>
  </r>
  <r>
    <n v="8209743"/>
    <n v="16615"/>
    <s v="Janet Gordon"/>
    <s v="Portsmouth"/>
    <x v="26"/>
    <x v="1"/>
    <s v="High"/>
    <d v="2023-09-07T00:00:00"/>
    <n v="6"/>
    <n v="22.74176786"/>
    <n v="136.45060710000001"/>
    <x v="3"/>
    <x v="15"/>
    <n v="3"/>
  </r>
  <r>
    <n v="8215539"/>
    <n v="22107"/>
    <s v="Scott Burke"/>
    <s v="Portsmouth"/>
    <x v="11"/>
    <x v="0"/>
    <s v="High"/>
    <d v="2023-05-13T00:00:00"/>
    <n v="5"/>
    <n v="27.24352562"/>
    <n v="136.21762810000001"/>
    <x v="0"/>
    <x v="28"/>
    <n v="1"/>
  </r>
  <r>
    <n v="9889304"/>
    <n v="72463"/>
    <s v="Curtis Martin"/>
    <s v="Portsmouth"/>
    <x v="30"/>
    <x v="1"/>
    <s v="Low"/>
    <d v="2023-03-14T00:00:00"/>
    <n v="8"/>
    <n v="16.977070560000001"/>
    <n v="135.8165645"/>
    <x v="2"/>
    <x v="15"/>
    <n v="1"/>
  </r>
  <r>
    <n v="3356175"/>
    <n v="65112"/>
    <s v="Michael Gamble"/>
    <s v="Portsmouth"/>
    <x v="33"/>
    <x v="1"/>
    <s v="High"/>
    <d v="2023-09-12T00:00:00"/>
    <n v="1"/>
    <n v="135.41360800000001"/>
    <n v="135.41360800000001"/>
    <x v="3"/>
    <x v="8"/>
    <n v="4"/>
  </r>
  <r>
    <n v="2053971"/>
    <n v="84475"/>
    <s v="Carl Jenkins"/>
    <s v="Portsmouth"/>
    <x v="3"/>
    <x v="0"/>
    <s v="Medium"/>
    <d v="2023-12-18T00:00:00"/>
    <n v="10"/>
    <n v="13.497794649999999"/>
    <n v="134.9779465"/>
    <x v="0"/>
    <x v="18"/>
    <n v="1"/>
  </r>
  <r>
    <n v="2306788"/>
    <n v="87457"/>
    <s v="Michelle Murray"/>
    <s v="Portsmouth"/>
    <x v="4"/>
    <x v="1"/>
    <s v="High"/>
    <d v="2023-03-27T00:00:00"/>
    <n v="1"/>
    <n v="132.86981130000001"/>
    <n v="132.86981130000001"/>
    <x v="1"/>
    <x v="20"/>
    <n v="4"/>
  </r>
  <r>
    <n v="7685751"/>
    <n v="89187"/>
    <s v="Keith Wise"/>
    <s v="Portsmouth"/>
    <x v="15"/>
    <x v="1"/>
    <s v="Medium"/>
    <d v="2023-09-30T00:00:00"/>
    <n v="3"/>
    <n v="43.07109758"/>
    <n v="129.21329270000001"/>
    <x v="4"/>
    <x v="15"/>
    <n v="2"/>
  </r>
  <r>
    <n v="4237878"/>
    <n v="11577"/>
    <s v="Mrs. Kimberly Austin MD"/>
    <s v="Portsmouth"/>
    <x v="1"/>
    <x v="0"/>
    <s v="High"/>
    <d v="2023-07-15T00:00:00"/>
    <n v="3"/>
    <n v="41.445077390000002"/>
    <n v="124.33523219999999"/>
    <x v="4"/>
    <x v="26"/>
    <n v="4"/>
  </r>
  <r>
    <n v="1147112"/>
    <n v="20692"/>
    <s v="Christine Nelson"/>
    <s v="Portsmouth"/>
    <x v="23"/>
    <x v="1"/>
    <s v="Low"/>
    <d v="2023-07-12T00:00:00"/>
    <n v="1"/>
    <n v="118.5741697"/>
    <n v="118.5741697"/>
    <x v="4"/>
    <x v="1"/>
    <n v="1"/>
  </r>
  <r>
    <n v="3111772"/>
    <n v="11288"/>
    <s v="Olivia Shea"/>
    <s v="Portsmouth"/>
    <x v="48"/>
    <x v="0"/>
    <s v="Medium"/>
    <d v="2023-03-14T00:00:00"/>
    <n v="1"/>
    <n v="117.0364627"/>
    <n v="117.0364627"/>
    <x v="3"/>
    <x v="19"/>
    <n v="3"/>
  </r>
  <r>
    <n v="7629030"/>
    <n v="67942"/>
    <s v="Pamela Smith"/>
    <s v="Portsmouth"/>
    <x v="14"/>
    <x v="1"/>
    <s v="Low"/>
    <d v="2023-06-03T00:00:00"/>
    <n v="2"/>
    <n v="56.391011589999998"/>
    <n v="112.7820232"/>
    <x v="1"/>
    <x v="11"/>
    <n v="1"/>
  </r>
  <r>
    <n v="6314125"/>
    <n v="15983"/>
    <s v="Jamie Thompson"/>
    <s v="Portsmouth"/>
    <x v="42"/>
    <x v="1"/>
    <s v="Low"/>
    <d v="2023-12-07T00:00:00"/>
    <n v="1"/>
    <n v="104.8262263"/>
    <n v="104.8262263"/>
    <x v="2"/>
    <x v="15"/>
    <n v="4"/>
  </r>
  <r>
    <n v="9192381"/>
    <n v="41835"/>
    <s v="Christine Green PhD"/>
    <s v="Portsmouth"/>
    <x v="39"/>
    <x v="0"/>
    <s v="Low"/>
    <d v="2023-03-28T00:00:00"/>
    <n v="2"/>
    <n v="50.420540789999997"/>
    <n v="100.8410816"/>
    <x v="2"/>
    <x v="29"/>
    <n v="4"/>
  </r>
  <r>
    <n v="7430587"/>
    <n v="55940"/>
    <s v="Theresa Harvey"/>
    <s v="Portsmouth"/>
    <x v="34"/>
    <x v="1"/>
    <s v="Low"/>
    <d v="2023-12-15T00:00:00"/>
    <n v="3"/>
    <n v="32.297409180000002"/>
    <n v="96.892227539999993"/>
    <x v="0"/>
    <x v="10"/>
    <n v="1"/>
  </r>
  <r>
    <n v="7077961"/>
    <n v="61351"/>
    <s v="Megan Rice"/>
    <s v="Portsmouth"/>
    <x v="25"/>
    <x v="1"/>
    <s v="Medium"/>
    <d v="2023-06-17T00:00:00"/>
    <n v="1"/>
    <n v="95.047991269999997"/>
    <n v="95.047991269999997"/>
    <x v="4"/>
    <x v="12"/>
    <n v="4"/>
  </r>
  <r>
    <n v="5245038"/>
    <n v="52641"/>
    <s v="Andrea Martin"/>
    <s v="Portsmouth"/>
    <x v="42"/>
    <x v="1"/>
    <s v="High"/>
    <d v="2023-09-08T00:00:00"/>
    <n v="7"/>
    <n v="12.480915939999999"/>
    <n v="87.366411549999995"/>
    <x v="3"/>
    <x v="12"/>
    <n v="2"/>
  </r>
  <r>
    <n v="2124439"/>
    <n v="74812"/>
    <s v="David Johnson"/>
    <s v="Portsmouth"/>
    <x v="25"/>
    <x v="1"/>
    <s v="Low"/>
    <d v="2023-11-22T00:00:00"/>
    <n v="6"/>
    <n v="13.7230279"/>
    <n v="82.338167369999994"/>
    <x v="1"/>
    <x v="12"/>
    <n v="2"/>
  </r>
  <r>
    <n v="1206659"/>
    <n v="68480"/>
    <s v="Jonathan Smith"/>
    <s v="Portsmouth"/>
    <x v="10"/>
    <x v="0"/>
    <s v="High"/>
    <d v="2023-11-30T00:00:00"/>
    <n v="2"/>
    <n v="40.611297380000003"/>
    <n v="81.222594760000007"/>
    <x v="2"/>
    <x v="11"/>
    <n v="5"/>
  </r>
  <r>
    <n v="5776200"/>
    <n v="78206"/>
    <s v="Ana Perez"/>
    <s v="Portsmouth"/>
    <x v="10"/>
    <x v="1"/>
    <s v="High"/>
    <d v="2023-05-19T00:00:00"/>
    <n v="1"/>
    <n v="79.975723369999997"/>
    <n v="79.975723369999997"/>
    <x v="0"/>
    <x v="6"/>
    <n v="4"/>
  </r>
  <r>
    <n v="8900433"/>
    <n v="39665"/>
    <s v="Ruth Carter"/>
    <s v="Portsmouth"/>
    <x v="43"/>
    <x v="1"/>
    <s v="Low"/>
    <d v="2023-07-09T00:00:00"/>
    <n v="1"/>
    <n v="74.895771699999997"/>
    <n v="74.895771699999997"/>
    <x v="0"/>
    <x v="19"/>
    <n v="5"/>
  </r>
  <r>
    <n v="4801034"/>
    <n v="39803"/>
    <s v="Joy Allen"/>
    <s v="Portsmouth"/>
    <x v="40"/>
    <x v="0"/>
    <s v="Medium"/>
    <d v="2023-11-22T00:00:00"/>
    <n v="2"/>
    <n v="36.295867469999997"/>
    <n v="72.591734950000003"/>
    <x v="1"/>
    <x v="2"/>
    <n v="2"/>
  </r>
  <r>
    <n v="4969987"/>
    <n v="64995"/>
    <s v="Justin Lara"/>
    <s v="Portsmouth"/>
    <x v="31"/>
    <x v="1"/>
    <s v="Medium"/>
    <d v="2023-06-15T00:00:00"/>
    <n v="3"/>
    <n v="23.723901219999998"/>
    <n v="71.171703669999999"/>
    <x v="0"/>
    <x v="27"/>
    <n v="1"/>
  </r>
  <r>
    <n v="7165666"/>
    <n v="62402"/>
    <s v="Rachael Lewis"/>
    <s v="Portsmouth"/>
    <x v="20"/>
    <x v="1"/>
    <s v="Medium"/>
    <d v="2023-12-10T00:00:00"/>
    <n v="4"/>
    <n v="16.672012769999998"/>
    <n v="66.688051090000002"/>
    <x v="0"/>
    <x v="25"/>
    <n v="2"/>
  </r>
  <r>
    <n v="3997195"/>
    <n v="95592"/>
    <s v="Carlos Stanley"/>
    <s v="Portsmouth"/>
    <x v="26"/>
    <x v="1"/>
    <s v="Low"/>
    <d v="2023-09-05T00:00:00"/>
    <n v="3"/>
    <n v="20.716516729999999"/>
    <n v="62.149550179999999"/>
    <x v="4"/>
    <x v="18"/>
    <n v="2"/>
  </r>
  <r>
    <n v="5067613"/>
    <n v="35446"/>
    <s v="Pamela Campbell"/>
    <s v="Portsmouth"/>
    <x v="42"/>
    <x v="1"/>
    <s v="Medium"/>
    <d v="2023-07-18T00:00:00"/>
    <n v="1"/>
    <n v="61.888757779999999"/>
    <n v="61.888757779999999"/>
    <x v="0"/>
    <x v="21"/>
    <n v="4"/>
  </r>
  <r>
    <n v="9260448"/>
    <n v="44339"/>
    <s v="Elizabeth Craig"/>
    <s v="Portsmouth"/>
    <x v="14"/>
    <x v="1"/>
    <s v="High"/>
    <d v="2023-05-29T00:00:00"/>
    <n v="5"/>
    <n v="11.212817039999999"/>
    <n v="56.064085220000003"/>
    <x v="1"/>
    <x v="12"/>
    <n v="4"/>
  </r>
  <r>
    <n v="3317106"/>
    <n v="29568"/>
    <s v="Monica Beltran"/>
    <s v="Portsmouth"/>
    <x v="40"/>
    <x v="0"/>
    <s v="Low"/>
    <d v="2023-09-15T00:00:00"/>
    <n v="1"/>
    <n v="55.7131033"/>
    <n v="55.7131033"/>
    <x v="4"/>
    <x v="22"/>
    <n v="1"/>
  </r>
  <r>
    <n v="7226711"/>
    <n v="18515"/>
    <s v="Jennifer Salinas"/>
    <s v="Portsmouth"/>
    <x v="18"/>
    <x v="1"/>
    <s v="High"/>
    <d v="2024-01-30T00:00:00"/>
    <n v="1"/>
    <n v="52.377464080000003"/>
    <n v="52.377464080000003"/>
    <x v="2"/>
    <x v="22"/>
    <n v="3"/>
  </r>
  <r>
    <n v="2344675"/>
    <n v="26603"/>
    <s v="Angela Fields"/>
    <s v="Munich"/>
    <x v="8"/>
    <x v="1"/>
    <s v="Medium"/>
    <d v="2023-03-24T00:00:00"/>
    <n v="1"/>
    <n v="46.588070379999998"/>
    <n v="46.588070379999998"/>
    <x v="2"/>
    <x v="11"/>
    <n v="1"/>
  </r>
  <r>
    <n v="9423609"/>
    <n v="16683"/>
    <s v="Sara Martinez"/>
    <s v="Portsmouth"/>
    <x v="31"/>
    <x v="1"/>
    <s v="Medium"/>
    <d v="2023-05-15T00:00:00"/>
    <n v="1"/>
    <n v="41.750675809999997"/>
    <n v="41.750675809999997"/>
    <x v="3"/>
    <x v="20"/>
    <n v="2"/>
  </r>
  <r>
    <n v="3767002"/>
    <n v="66893"/>
    <s v="Deanna Garrett"/>
    <s v="Portsmouth"/>
    <x v="25"/>
    <x v="1"/>
    <s v="Medium"/>
    <d v="2023-10-02T00:00:00"/>
    <n v="1"/>
    <n v="33.553642740000001"/>
    <n v="33.553642740000001"/>
    <x v="0"/>
    <x v="21"/>
    <n v="2"/>
  </r>
  <r>
    <n v="1121415"/>
    <n v="96958"/>
    <s v="Brian Juarez"/>
    <s v="Portsmouth"/>
    <x v="51"/>
    <x v="0"/>
    <s v="Medium"/>
    <d v="2023-09-21T00:00:00"/>
    <n v="1"/>
    <n v="18.162848010000001"/>
    <n v="18.162848010000001"/>
    <x v="1"/>
    <x v="2"/>
    <n v="4"/>
  </r>
  <r>
    <n v="8902436"/>
    <n v="72108"/>
    <s v="Christopher Knight"/>
    <s v="Portsmouth"/>
    <x v="45"/>
    <x v="1"/>
    <s v="Low"/>
    <d v="2023-03-08T00:00:00"/>
    <n v="1"/>
    <n v="13.506763100000001"/>
    <n v="13.506763100000001"/>
    <x v="4"/>
    <x v="2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9D0D2-056F-43CA-B635-263295903D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E6:F21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64" showAll="0"/>
    <pivotField numFmtId="1" showAll="0"/>
    <pivotField showAll="0"/>
    <pivotField dataField="1" showAll="0"/>
    <pivotField axis="axisRow" showAll="0" sortType="descending">
      <items count="6">
        <item x="2"/>
        <item x="0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</pivotFields>
  <rowFields count="2">
    <field x="5"/>
    <field x="11"/>
  </rowFields>
  <rowItems count="15">
    <i>
      <x/>
    </i>
    <i r="1">
      <x v="1"/>
    </i>
    <i r="1">
      <x/>
    </i>
    <i r="1">
      <x v="4"/>
    </i>
    <i r="1">
      <x v="3"/>
    </i>
    <i r="1">
      <x v="2"/>
    </i>
    <i>
      <x v="1"/>
    </i>
    <i r="1">
      <x v="2"/>
    </i>
    <i r="1">
      <x v="4"/>
    </i>
    <i r="1">
      <x v="3"/>
    </i>
    <i r="1">
      <x/>
    </i>
    <i r="1">
      <x v="1"/>
    </i>
    <i>
      <x v="2"/>
    </i>
    <i r="1">
      <x v="2"/>
    </i>
    <i t="grand">
      <x/>
    </i>
  </rowItems>
  <colItems count="1">
    <i/>
  </colItems>
  <dataFields count="1">
    <dataField name="Sum of Total_Amount" fld="10" baseField="0" baseItem="0"/>
  </dataFields>
  <formats count="11">
    <format dxfId="10">
      <pivotArea dataOnly="0" labelOnly="1" fieldPosition="0">
        <references count="1">
          <reference field="5" count="1">
            <x v="1"/>
          </reference>
        </references>
      </pivotArea>
    </format>
    <format dxfId="9">
      <pivotArea dataOnly="0" labelOnly="1" fieldPosition="0">
        <references count="1">
          <reference field="5" count="1">
            <x v="0"/>
          </reference>
        </references>
      </pivotArea>
    </format>
    <format dxfId="8">
      <pivotArea dataOnly="0" labelOnly="1" fieldPosition="0">
        <references count="1">
          <reference field="5" count="1">
            <x v="2"/>
          </reference>
        </references>
      </pivotArea>
    </format>
    <format dxfId="7">
      <pivotArea collapsedLevelsAreSubtotals="1" fieldPosition="0">
        <references count="1">
          <reference field="5" count="1">
            <x v="1"/>
          </reference>
        </references>
      </pivotArea>
    </format>
    <format dxfId="6">
      <pivotArea collapsedLevelsAreSubtotals="1" fieldPosition="0">
        <references count="1">
          <reference field="5" count="1">
            <x v="0"/>
          </reference>
        </references>
      </pivotArea>
    </format>
    <format dxfId="5">
      <pivotArea collapsedLevelsAreSubtotals="1" fieldPosition="0">
        <references count="1">
          <reference field="5" count="1">
            <x v="2"/>
          </reference>
        </references>
      </pivotArea>
    </format>
    <format dxfId="4">
      <pivotArea dataOnly="0" fieldPosition="0">
        <references count="2">
          <reference field="5" count="1">
            <x v="0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">
      <pivotArea collapsedLevelsAreSubtotals="1" fieldPosition="0">
        <references count="2">
          <reference field="5" count="1" selected="0">
            <x v="1"/>
          </reference>
          <reference field="11" count="0"/>
        </references>
      </pivotArea>
    </format>
    <format dxfId="2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1">
      <pivotArea collapsedLevelsAreSubtotals="1" fieldPosition="0">
        <references count="2">
          <reference field="5" count="1" selected="0">
            <x v="2"/>
          </reference>
          <reference field="11" count="1">
            <x v="2"/>
          </reference>
        </references>
      </pivotArea>
    </format>
    <format dxfId="0">
      <pivotArea dataOnly="0" labelOnly="1" fieldPosition="0">
        <references count="2">
          <reference field="5" count="1" selected="0">
            <x v="2"/>
          </reference>
          <reference field="11" count="1">
            <x v="2"/>
          </reference>
        </references>
      </pivotArea>
    </format>
  </formats>
  <conditionalFormats count="5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11" count="1">
              <x v="1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11" count="1">
              <x v="1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11" count="5">
              <x v="0"/>
              <x v="1"/>
              <x v="2"/>
              <x v="3"/>
              <x v="4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11" count="1">
              <x v="2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1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80E64-28BF-4AD0-BB7A-9E18BE233D5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_Category">
  <location ref="B6:C12" firstHeaderRow="1" firstDataRow="1" firstDataCol="1"/>
  <pivotFields count="14">
    <pivotField showAll="0"/>
    <pivotField showAll="0"/>
    <pivotField showAll="0"/>
    <pivotField showAll="0"/>
    <pivotField showAll="0">
      <items count="55">
        <item x="44"/>
        <item x="43"/>
        <item x="49"/>
        <item x="22"/>
        <item x="4"/>
        <item x="5"/>
        <item x="10"/>
        <item x="12"/>
        <item x="27"/>
        <item x="51"/>
        <item x="15"/>
        <item x="8"/>
        <item x="9"/>
        <item x="30"/>
        <item x="34"/>
        <item x="39"/>
        <item x="37"/>
        <item x="23"/>
        <item x="14"/>
        <item x="38"/>
        <item x="6"/>
        <item x="35"/>
        <item x="47"/>
        <item x="26"/>
        <item x="53"/>
        <item x="31"/>
        <item x="52"/>
        <item x="29"/>
        <item x="13"/>
        <item x="2"/>
        <item x="41"/>
        <item x="42"/>
        <item x="24"/>
        <item x="11"/>
        <item x="0"/>
        <item x="16"/>
        <item x="33"/>
        <item x="45"/>
        <item x="40"/>
        <item x="28"/>
        <item x="36"/>
        <item x="32"/>
        <item x="3"/>
        <item x="21"/>
        <item x="25"/>
        <item x="46"/>
        <item x="1"/>
        <item x="19"/>
        <item x="48"/>
        <item x="7"/>
        <item x="18"/>
        <item x="17"/>
        <item x="50"/>
        <item x="20"/>
        <item t="default"/>
      </items>
    </pivotField>
    <pivotField showAll="0"/>
    <pivotField showAll="0"/>
    <pivotField numFmtId="164" showAll="0"/>
    <pivotField numFmtId="1" showAll="0"/>
    <pivotField showAll="0"/>
    <pivotField dataField="1" showAll="0"/>
    <pivotField axis="axisRow" showAll="0" sortType="descending">
      <items count="6">
        <item x="2"/>
        <item x="0"/>
        <item sd="0" x="1"/>
        <item sd="0" x="4"/>
        <item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1">
        <item x="10"/>
        <item x="29"/>
        <item x="1"/>
        <item x="18"/>
        <item x="25"/>
        <item x="12"/>
        <item x="14"/>
        <item x="3"/>
        <item x="22"/>
        <item x="21"/>
        <item x="16"/>
        <item x="5"/>
        <item x="4"/>
        <item x="26"/>
        <item x="24"/>
        <item x="7"/>
        <item x="27"/>
        <item x="2"/>
        <item x="11"/>
        <item x="13"/>
        <item x="8"/>
        <item x="15"/>
        <item x="23"/>
        <item x="19"/>
        <item x="6"/>
        <item x="0"/>
        <item x="9"/>
        <item x="28"/>
        <item x="17"/>
        <item x="20"/>
        <item t="default"/>
      </items>
    </pivotField>
    <pivotField numFmtId="1" showAll="0"/>
  </pivotFields>
  <rowFields count="1">
    <field x="11"/>
  </rowFields>
  <rowItems count="6"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Total_Amount" fld="10" baseField="0" baseItem="0"/>
  </dataFields>
  <formats count="3">
    <format dxfId="13">
      <pivotArea collapsedLevelsAreSubtotals="1" fieldPosition="0">
        <references count="1">
          <reference field="11" count="3">
            <x v="0"/>
            <x v="2"/>
            <x v="3"/>
          </reference>
        </references>
      </pivotArea>
    </format>
    <format dxfId="12">
      <pivotArea collapsedLevelsAreSubtotals="1" fieldPosition="0">
        <references count="1">
          <reference field="11" count="0"/>
        </references>
      </pivotArea>
    </format>
    <format dxfId="11">
      <pivotArea dataOnly="0" labelOnly="1" fieldPosition="0">
        <references count="1">
          <reference field="11" count="0"/>
        </references>
      </pivotArea>
    </format>
  </formats>
  <conditionalFormats count="2">
    <conditionalFormat type="all"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1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3C61-6761-4218-8C9B-D276A4444576}">
  <sheetPr filterMode="1"/>
  <dimension ref="A1:N501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13.54296875" bestFit="1" customWidth="1"/>
    <col min="2" max="2" width="11.81640625" bestFit="1" customWidth="1"/>
    <col min="3" max="3" width="22.81640625" bestFit="1" customWidth="1"/>
    <col min="4" max="4" width="10.81640625" bestFit="1" customWidth="1"/>
    <col min="5" max="5" width="11.81640625" bestFit="1" customWidth="1"/>
    <col min="6" max="6" width="8.6328125" bestFit="1" customWidth="1"/>
    <col min="7" max="7" width="7.81640625" bestFit="1" customWidth="1"/>
    <col min="8" max="8" width="9.7265625" bestFit="1" customWidth="1"/>
    <col min="9" max="9" width="14.6328125" bestFit="1" customWidth="1"/>
    <col min="10" max="10" width="11.81640625" bestFit="1" customWidth="1"/>
    <col min="11" max="11" width="13" bestFit="1" customWidth="1"/>
    <col min="12" max="12" width="16" bestFit="1" customWidth="1"/>
    <col min="13" max="13" width="12.453125" bestFit="1" customWidth="1"/>
    <col min="14" max="14" width="6.089843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 s="2">
        <v>4613625</v>
      </c>
      <c r="B2" s="2">
        <v>72950</v>
      </c>
      <c r="C2" s="2" t="s">
        <v>14</v>
      </c>
      <c r="D2" s="2" t="s">
        <v>15</v>
      </c>
      <c r="E2" s="3">
        <f>VLOOKUP('[1]New Data'!A152,'[1]New Data'!A:H,8,0)</f>
        <v>51</v>
      </c>
      <c r="F2" s="3" t="str">
        <f>VLOOKUP('[1]New Data'!A152,'[1]New Data'!A:J,10,0)</f>
        <v>Female</v>
      </c>
      <c r="G2" s="3" t="str">
        <f>VLOOKUP('[1]New Data'!A152,'[1]New Data'!A:K,11,0)</f>
        <v>Low</v>
      </c>
      <c r="H2" s="4">
        <f>VLOOKUP('[1]New Data'!A152,'[1]New Data'!A:M,13,0)</f>
        <v>45083</v>
      </c>
      <c r="I2" s="5">
        <f>VLOOKUP('[1]New Data'!A152,'[1]New Data'!A:O,15,0)</f>
        <v>10</v>
      </c>
      <c r="J2" s="3">
        <f>VLOOKUP('[1]New Data'!A152,'[1]New Data'!A:P,16,0)</f>
        <v>488.5287161</v>
      </c>
      <c r="K2" s="3">
        <f>VLOOKUP('[1]New Data'!A152,'[1]New Data'!A:Q,17,0)</f>
        <v>4885.2871610000002</v>
      </c>
      <c r="L2" s="3" t="str">
        <f>VLOOKUP('[1]New Data'!A2,'[1]New Data'!A:S,19,0)</f>
        <v>Clothing</v>
      </c>
      <c r="M2" s="3" t="str">
        <f>VLOOKUP('[1]New Data'!A2,'[1]New Data'!A:T,20,0)</f>
        <v>Shorts</v>
      </c>
      <c r="N2" s="5">
        <f>VLOOKUP('[1]New Data'!A152,'[1]New Data'!A:Z,25,0)</f>
        <v>2</v>
      </c>
    </row>
    <row r="3" spans="1:14" hidden="1" x14ac:dyDescent="0.35">
      <c r="A3" s="2">
        <v>8093529</v>
      </c>
      <c r="B3" s="2">
        <v>45413</v>
      </c>
      <c r="C3" s="2" t="s">
        <v>16</v>
      </c>
      <c r="D3" s="2" t="s">
        <v>15</v>
      </c>
      <c r="E3" s="3">
        <f>VLOOKUP('[1]New Data'!A161,'[1]New Data'!A:H,8,0)</f>
        <v>63</v>
      </c>
      <c r="F3" s="3" t="str">
        <f>VLOOKUP('[1]New Data'!A161,'[1]New Data'!A:J,10,0)</f>
        <v>Male</v>
      </c>
      <c r="G3" s="3" t="str">
        <f>VLOOKUP('[1]New Data'!A161,'[1]New Data'!A:K,11,0)</f>
        <v>Medium</v>
      </c>
      <c r="H3" s="4">
        <f>VLOOKUP('[1]New Data'!A161,'[1]New Data'!A:M,13,0)</f>
        <v>44989</v>
      </c>
      <c r="I3" s="5">
        <f>VLOOKUP('[1]New Data'!A161,'[1]New Data'!A:O,15,0)</f>
        <v>10</v>
      </c>
      <c r="J3" s="3">
        <f>VLOOKUP('[1]New Data'!A161,'[1]New Data'!A:P,16,0)</f>
        <v>485.07736169999998</v>
      </c>
      <c r="K3" s="3">
        <f>VLOOKUP('[1]New Data'!A161,'[1]New Data'!A:Q,17,0)</f>
        <v>4850.7736169999998</v>
      </c>
      <c r="L3" s="3" t="str">
        <f>VLOOKUP('[1]New Data'!A3,'[1]New Data'!A:S,19,0)</f>
        <v>Electronics</v>
      </c>
      <c r="M3" s="3" t="str">
        <f>VLOOKUP('[1]New Data'!A3,'[1]New Data'!A:T,20,0)</f>
        <v>Tablet</v>
      </c>
      <c r="N3" s="5">
        <f>VLOOKUP('[1]New Data'!A161,'[1]New Data'!A:Z,25,0)</f>
        <v>1</v>
      </c>
    </row>
    <row r="4" spans="1:14" hidden="1" x14ac:dyDescent="0.35">
      <c r="A4" s="2">
        <v>9627400</v>
      </c>
      <c r="B4" s="2">
        <v>97549</v>
      </c>
      <c r="C4" s="2" t="s">
        <v>17</v>
      </c>
      <c r="D4" s="2" t="s">
        <v>15</v>
      </c>
      <c r="E4" s="3">
        <f>VLOOKUP('[1]New Data'!A486,'[1]New Data'!A:H,8,0)</f>
        <v>46</v>
      </c>
      <c r="F4" s="3" t="str">
        <f>VLOOKUP('[1]New Data'!A486,'[1]New Data'!A:J,10,0)</f>
        <v>Male</v>
      </c>
      <c r="G4" s="3" t="str">
        <f>VLOOKUP('[1]New Data'!A486,'[1]New Data'!A:K,11,0)</f>
        <v>Medium</v>
      </c>
      <c r="H4" s="4">
        <f>VLOOKUP('[1]New Data'!A486,'[1]New Data'!A:M,13,0)</f>
        <v>45256</v>
      </c>
      <c r="I4" s="5">
        <f>VLOOKUP('[1]New Data'!A486,'[1]New Data'!A:O,15,0)</f>
        <v>10</v>
      </c>
      <c r="J4" s="3">
        <f>VLOOKUP('[1]New Data'!A486,'[1]New Data'!A:P,16,0)</f>
        <v>475.53466079999998</v>
      </c>
      <c r="K4" s="3">
        <f>VLOOKUP('[1]New Data'!A486,'[1]New Data'!A:Q,17,0)</f>
        <v>4755.3466079999998</v>
      </c>
      <c r="L4" s="3" t="str">
        <f>VLOOKUP('[1]New Data'!A4,'[1]New Data'!A:S,19,0)</f>
        <v>Books</v>
      </c>
      <c r="M4" s="3" t="str">
        <f>VLOOKUP('[1]New Data'!A4,'[1]New Data'!A:T,20,0)</f>
        <v>Children's</v>
      </c>
      <c r="N4" s="5">
        <f>VLOOKUP('[1]New Data'!A486,'[1]New Data'!A:Z,25,0)</f>
        <v>1</v>
      </c>
    </row>
    <row r="5" spans="1:14" x14ac:dyDescent="0.35">
      <c r="A5" s="2">
        <v>4066984</v>
      </c>
      <c r="B5" s="2">
        <v>61816</v>
      </c>
      <c r="C5" s="2" t="s">
        <v>18</v>
      </c>
      <c r="D5" s="2" t="s">
        <v>15</v>
      </c>
      <c r="E5" s="3">
        <f>VLOOKUP('[1]New Data'!A496,'[1]New Data'!A:H,8,0)</f>
        <v>59</v>
      </c>
      <c r="F5" s="3" t="str">
        <f>VLOOKUP('[1]New Data'!A496,'[1]New Data'!A:J,10,0)</f>
        <v>Male</v>
      </c>
      <c r="G5" s="3" t="str">
        <f>VLOOKUP('[1]New Data'!A496,'[1]New Data'!A:K,11,0)</f>
        <v>High</v>
      </c>
      <c r="H5" s="4">
        <f>VLOOKUP('[1]New Data'!A496,'[1]New Data'!A:M,13,0)</f>
        <v>45052</v>
      </c>
      <c r="I5" s="5">
        <f>VLOOKUP('[1]New Data'!A496,'[1]New Data'!A:O,15,0)</f>
        <v>10</v>
      </c>
      <c r="J5" s="3">
        <f>VLOOKUP('[1]New Data'!A496,'[1]New Data'!A:P,16,0)</f>
        <v>466.72160350000001</v>
      </c>
      <c r="K5" s="3">
        <f>VLOOKUP('[1]New Data'!A496,'[1]New Data'!A:Q,17,0)</f>
        <v>4667.2160350000004</v>
      </c>
      <c r="L5" s="3" t="str">
        <f>VLOOKUP('[1]New Data'!A5,'[1]New Data'!A:S,19,0)</f>
        <v>Home Decor</v>
      </c>
      <c r="M5" s="3" t="str">
        <f>VLOOKUP('[1]New Data'!A5,'[1]New Data'!A:T,20,0)</f>
        <v>Tools</v>
      </c>
      <c r="N5" s="5">
        <f>VLOOKUP('[1]New Data'!A496,'[1]New Data'!A:Z,25,0)</f>
        <v>4</v>
      </c>
    </row>
    <row r="6" spans="1:14" hidden="1" x14ac:dyDescent="0.35">
      <c r="A6" s="2">
        <v>4669285</v>
      </c>
      <c r="B6" s="2">
        <v>64275</v>
      </c>
      <c r="C6" s="2" t="s">
        <v>19</v>
      </c>
      <c r="D6" s="2" t="s">
        <v>15</v>
      </c>
      <c r="E6" s="3">
        <f>VLOOKUP('[1]New Data'!A402,'[1]New Data'!A:H,8,0)</f>
        <v>22</v>
      </c>
      <c r="F6" s="3" t="str">
        <f>VLOOKUP('[1]New Data'!A402,'[1]New Data'!A:J,10,0)</f>
        <v>Female</v>
      </c>
      <c r="G6" s="3" t="str">
        <f>VLOOKUP('[1]New Data'!A402,'[1]New Data'!A:K,11,0)</f>
        <v>Low</v>
      </c>
      <c r="H6" s="4">
        <f>VLOOKUP('[1]New Data'!A402,'[1]New Data'!A:M,13,0)</f>
        <v>45036</v>
      </c>
      <c r="I6" s="5">
        <f>VLOOKUP('[1]New Data'!A402,'[1]New Data'!A:O,15,0)</f>
        <v>10</v>
      </c>
      <c r="J6" s="3">
        <f>VLOOKUP('[1]New Data'!A402,'[1]New Data'!A:P,16,0)</f>
        <v>451.8677874</v>
      </c>
      <c r="K6" s="3">
        <f>VLOOKUP('[1]New Data'!A402,'[1]New Data'!A:Q,17,0)</f>
        <v>4518.677874</v>
      </c>
      <c r="L6" s="3" t="str">
        <f>VLOOKUP('[1]New Data'!A6,'[1]New Data'!A:S,19,0)</f>
        <v>Grocery</v>
      </c>
      <c r="M6" s="3" t="str">
        <f>VLOOKUP('[1]New Data'!A6,'[1]New Data'!A:T,20,0)</f>
        <v>Chocolate</v>
      </c>
      <c r="N6" s="5">
        <f>VLOOKUP('[1]New Data'!A402,'[1]New Data'!A:Z,25,0)</f>
        <v>3</v>
      </c>
    </row>
    <row r="7" spans="1:14" hidden="1" x14ac:dyDescent="0.35">
      <c r="A7" s="2">
        <v>5777205</v>
      </c>
      <c r="B7" s="2">
        <v>20280</v>
      </c>
      <c r="C7" s="2" t="s">
        <v>20</v>
      </c>
      <c r="D7" s="2" t="s">
        <v>15</v>
      </c>
      <c r="E7" s="3">
        <f>VLOOKUP('[1]New Data'!A397,'[1]New Data'!A:H,8,0)</f>
        <v>23</v>
      </c>
      <c r="F7" s="3" t="str">
        <f>VLOOKUP('[1]New Data'!A397,'[1]New Data'!A:J,10,0)</f>
        <v>Male</v>
      </c>
      <c r="G7" s="3" t="str">
        <f>VLOOKUP('[1]New Data'!A397,'[1]New Data'!A:K,11,0)</f>
        <v>Low</v>
      </c>
      <c r="H7" s="4">
        <f>VLOOKUP('[1]New Data'!A397,'[1]New Data'!A:M,13,0)</f>
        <v>45265</v>
      </c>
      <c r="I7" s="5">
        <f>VLOOKUP('[1]New Data'!A397,'[1]New Data'!A:O,15,0)</f>
        <v>10</v>
      </c>
      <c r="J7" s="3">
        <f>VLOOKUP('[1]New Data'!A397,'[1]New Data'!A:P,16,0)</f>
        <v>448.71276899999998</v>
      </c>
      <c r="K7" s="3">
        <f>VLOOKUP('[1]New Data'!A397,'[1]New Data'!A:Q,17,0)</f>
        <v>4487.1276900000003</v>
      </c>
      <c r="L7" s="3" t="str">
        <f>VLOOKUP('[1]New Data'!A7,'[1]New Data'!A:S,19,0)</f>
        <v>Electronics</v>
      </c>
      <c r="M7" s="3" t="str">
        <f>VLOOKUP('[1]New Data'!A7,'[1]New Data'!A:T,20,0)</f>
        <v>Tablet</v>
      </c>
      <c r="N7" s="5">
        <f>VLOOKUP('[1]New Data'!A397,'[1]New Data'!A:Z,25,0)</f>
        <v>2</v>
      </c>
    </row>
    <row r="8" spans="1:14" hidden="1" x14ac:dyDescent="0.35">
      <c r="A8" s="2">
        <v>8556117</v>
      </c>
      <c r="B8" s="2">
        <v>89722</v>
      </c>
      <c r="C8" s="2" t="s">
        <v>21</v>
      </c>
      <c r="D8" s="2" t="s">
        <v>15</v>
      </c>
      <c r="E8" s="3">
        <f>VLOOKUP('[1]New Data'!A443,'[1]New Data'!A:H,8,0)</f>
        <v>38</v>
      </c>
      <c r="F8" s="3" t="str">
        <f>VLOOKUP('[1]New Data'!A443,'[1]New Data'!A:J,10,0)</f>
        <v>Male</v>
      </c>
      <c r="G8" s="3" t="str">
        <f>VLOOKUP('[1]New Data'!A443,'[1]New Data'!A:K,11,0)</f>
        <v>Medium</v>
      </c>
      <c r="H8" s="4">
        <f>VLOOKUP('[1]New Data'!A443,'[1]New Data'!A:M,13,0)</f>
        <v>45144</v>
      </c>
      <c r="I8" s="5">
        <f>VLOOKUP('[1]New Data'!A443,'[1]New Data'!A:O,15,0)</f>
        <v>10</v>
      </c>
      <c r="J8" s="3">
        <f>VLOOKUP('[1]New Data'!A443,'[1]New Data'!A:P,16,0)</f>
        <v>435.68257590000002</v>
      </c>
      <c r="K8" s="3">
        <f>VLOOKUP('[1]New Data'!A443,'[1]New Data'!A:Q,17,0)</f>
        <v>4356.8257590000003</v>
      </c>
      <c r="L8" s="3" t="str">
        <f>VLOOKUP('[1]New Data'!A8,'[1]New Data'!A:S,19,0)</f>
        <v>Electronics</v>
      </c>
      <c r="M8" s="3" t="str">
        <f>VLOOKUP('[1]New Data'!A8,'[1]New Data'!A:T,20,0)</f>
        <v>Television</v>
      </c>
      <c r="N8" s="5">
        <f>VLOOKUP('[1]New Data'!A443,'[1]New Data'!A:Z,25,0)</f>
        <v>2</v>
      </c>
    </row>
    <row r="9" spans="1:14" hidden="1" x14ac:dyDescent="0.35">
      <c r="A9" s="2">
        <v>4501991</v>
      </c>
      <c r="B9" s="2">
        <v>31998</v>
      </c>
      <c r="C9" s="2" t="s">
        <v>22</v>
      </c>
      <c r="D9" s="2" t="s">
        <v>15</v>
      </c>
      <c r="E9" s="3">
        <f>VLOOKUP('[1]New Data'!A408,'[1]New Data'!A:H,8,0)</f>
        <v>66</v>
      </c>
      <c r="F9" s="3" t="str">
        <f>VLOOKUP('[1]New Data'!A408,'[1]New Data'!A:J,10,0)</f>
        <v>Female</v>
      </c>
      <c r="G9" s="3" t="str">
        <f>VLOOKUP('[1]New Data'!A408,'[1]New Data'!A:K,11,0)</f>
        <v>Medium</v>
      </c>
      <c r="H9" s="4">
        <f>VLOOKUP('[1]New Data'!A408,'[1]New Data'!A:M,13,0)</f>
        <v>45194</v>
      </c>
      <c r="I9" s="5">
        <f>VLOOKUP('[1]New Data'!A408,'[1]New Data'!A:O,15,0)</f>
        <v>9</v>
      </c>
      <c r="J9" s="3">
        <f>VLOOKUP('[1]New Data'!A408,'[1]New Data'!A:P,16,0)</f>
        <v>481.87974220000001</v>
      </c>
      <c r="K9" s="3">
        <f>VLOOKUP('[1]New Data'!A408,'[1]New Data'!A:Q,17,0)</f>
        <v>4336.9176799999996</v>
      </c>
      <c r="L9" s="3" t="str">
        <f>VLOOKUP('[1]New Data'!A9,'[1]New Data'!A:S,19,0)</f>
        <v>Clothing</v>
      </c>
      <c r="M9" s="3" t="str">
        <f>VLOOKUP('[1]New Data'!A9,'[1]New Data'!A:T,20,0)</f>
        <v>Shirt</v>
      </c>
      <c r="N9" s="5">
        <f>VLOOKUP('[1]New Data'!A408,'[1]New Data'!A:Z,25,0)</f>
        <v>4</v>
      </c>
    </row>
    <row r="10" spans="1:14" hidden="1" x14ac:dyDescent="0.35">
      <c r="A10" s="2">
        <v>4021565</v>
      </c>
      <c r="B10" s="2">
        <v>59819</v>
      </c>
      <c r="C10" s="2" t="s">
        <v>23</v>
      </c>
      <c r="D10" s="2" t="s">
        <v>15</v>
      </c>
      <c r="E10" s="3">
        <f>VLOOKUP('[1]New Data'!A61,'[1]New Data'!A:H,8,0)</f>
        <v>29</v>
      </c>
      <c r="F10" s="3" t="str">
        <f>VLOOKUP('[1]New Data'!A61,'[1]New Data'!A:J,10,0)</f>
        <v>Male</v>
      </c>
      <c r="G10" s="3" t="str">
        <f>VLOOKUP('[1]New Data'!A61,'[1]New Data'!A:K,11,0)</f>
        <v>Medium</v>
      </c>
      <c r="H10" s="4">
        <f>VLOOKUP('[1]New Data'!A61,'[1]New Data'!A:M,13,0)</f>
        <v>45207</v>
      </c>
      <c r="I10" s="5">
        <f>VLOOKUP('[1]New Data'!A61,'[1]New Data'!A:O,15,0)</f>
        <v>9</v>
      </c>
      <c r="J10" s="3">
        <f>VLOOKUP('[1]New Data'!A61,'[1]New Data'!A:P,16,0)</f>
        <v>474.8269416</v>
      </c>
      <c r="K10" s="3">
        <f>VLOOKUP('[1]New Data'!A61,'[1]New Data'!A:Q,17,0)</f>
        <v>4273.4424740000004</v>
      </c>
      <c r="L10" s="3" t="str">
        <f>VLOOKUP('[1]New Data'!A10,'[1]New Data'!A:S,19,0)</f>
        <v>Grocery</v>
      </c>
      <c r="M10" s="3" t="str">
        <f>VLOOKUP('[1]New Data'!A10,'[1]New Data'!A:T,20,0)</f>
        <v>Chocolate</v>
      </c>
      <c r="N10" s="5">
        <f>VLOOKUP('[1]New Data'!A61,'[1]New Data'!A:Z,25,0)</f>
        <v>2</v>
      </c>
    </row>
    <row r="11" spans="1:14" x14ac:dyDescent="0.35">
      <c r="A11" s="2">
        <v>2821321</v>
      </c>
      <c r="B11" s="2">
        <v>83578</v>
      </c>
      <c r="C11" s="2" t="s">
        <v>24</v>
      </c>
      <c r="D11" s="2" t="s">
        <v>15</v>
      </c>
      <c r="E11" s="3">
        <f>VLOOKUP('[1]New Data'!A378,'[1]New Data'!A:H,8,0)</f>
        <v>51</v>
      </c>
      <c r="F11" s="3" t="str">
        <f>VLOOKUP('[1]New Data'!A378,'[1]New Data'!A:J,10,0)</f>
        <v>Female</v>
      </c>
      <c r="G11" s="3" t="str">
        <f>VLOOKUP('[1]New Data'!A378,'[1]New Data'!A:K,11,0)</f>
        <v>Low</v>
      </c>
      <c r="H11" s="4">
        <f>VLOOKUP('[1]New Data'!A378,'[1]New Data'!A:M,13,0)</f>
        <v>45265</v>
      </c>
      <c r="I11" s="5">
        <f>VLOOKUP('[1]New Data'!A378,'[1]New Data'!A:O,15,0)</f>
        <v>9</v>
      </c>
      <c r="J11" s="3">
        <f>VLOOKUP('[1]New Data'!A378,'[1]New Data'!A:P,16,0)</f>
        <v>474.17841099999998</v>
      </c>
      <c r="K11" s="3">
        <f>VLOOKUP('[1]New Data'!A378,'[1]New Data'!A:Q,17,0)</f>
        <v>4267.6056989999997</v>
      </c>
      <c r="L11" s="3" t="str">
        <f>VLOOKUP('[1]New Data'!A11,'[1]New Data'!A:S,19,0)</f>
        <v>Home Decor</v>
      </c>
      <c r="M11" s="3" t="str">
        <f>VLOOKUP('[1]New Data'!A11,'[1]New Data'!A:T,20,0)</f>
        <v>Decorations</v>
      </c>
      <c r="N11" s="5">
        <f>VLOOKUP('[1]New Data'!A378,'[1]New Data'!A:Z,25,0)</f>
        <v>1</v>
      </c>
    </row>
    <row r="12" spans="1:14" x14ac:dyDescent="0.35">
      <c r="A12" s="2">
        <v>6654529</v>
      </c>
      <c r="B12" s="2">
        <v>99025</v>
      </c>
      <c r="C12" s="2" t="s">
        <v>25</v>
      </c>
      <c r="D12" s="2" t="s">
        <v>15</v>
      </c>
      <c r="E12" s="3">
        <f>VLOOKUP('[1]New Data'!A350,'[1]New Data'!A:H,8,0)</f>
        <v>30</v>
      </c>
      <c r="F12" s="3" t="str">
        <f>VLOOKUP('[1]New Data'!A350,'[1]New Data'!A:J,10,0)</f>
        <v>Male</v>
      </c>
      <c r="G12" s="3" t="str">
        <f>VLOOKUP('[1]New Data'!A350,'[1]New Data'!A:K,11,0)</f>
        <v>High</v>
      </c>
      <c r="H12" s="4">
        <f>VLOOKUP('[1]New Data'!A350,'[1]New Data'!A:M,13,0)</f>
        <v>45148</v>
      </c>
      <c r="I12" s="5">
        <f>VLOOKUP('[1]New Data'!A350,'[1]New Data'!A:O,15,0)</f>
        <v>10</v>
      </c>
      <c r="J12" s="3">
        <f>VLOOKUP('[1]New Data'!A350,'[1]New Data'!A:P,16,0)</f>
        <v>424.93482269999998</v>
      </c>
      <c r="K12" s="3">
        <f>VLOOKUP('[1]New Data'!A350,'[1]New Data'!A:Q,17,0)</f>
        <v>4249.3482270000004</v>
      </c>
      <c r="L12" s="3" t="str">
        <f>VLOOKUP('[1]New Data'!A12,'[1]New Data'!A:S,19,0)</f>
        <v>Home Decor</v>
      </c>
      <c r="M12" s="3" t="str">
        <f>VLOOKUP('[1]New Data'!A12,'[1]New Data'!A:T,20,0)</f>
        <v>Tools</v>
      </c>
      <c r="N12" s="5">
        <f>VLOOKUP('[1]New Data'!A350,'[1]New Data'!A:Z,25,0)</f>
        <v>1</v>
      </c>
    </row>
    <row r="13" spans="1:14" hidden="1" x14ac:dyDescent="0.35">
      <c r="A13" s="2">
        <v>8274674</v>
      </c>
      <c r="B13" s="2">
        <v>14091</v>
      </c>
      <c r="C13" s="2" t="s">
        <v>26</v>
      </c>
      <c r="D13" s="2" t="s">
        <v>15</v>
      </c>
      <c r="E13" s="3">
        <f>VLOOKUP('[1]New Data'!A368,'[1]New Data'!A:H,8,0)</f>
        <v>24</v>
      </c>
      <c r="F13" s="3" t="str">
        <f>VLOOKUP('[1]New Data'!A368,'[1]New Data'!A:J,10,0)</f>
        <v>Male</v>
      </c>
      <c r="G13" s="3" t="str">
        <f>VLOOKUP('[1]New Data'!A368,'[1]New Data'!A:K,11,0)</f>
        <v>Low</v>
      </c>
      <c r="H13" s="4">
        <f>VLOOKUP('[1]New Data'!A368,'[1]New Data'!A:M,13,0)</f>
        <v>45043</v>
      </c>
      <c r="I13" s="5">
        <f>VLOOKUP('[1]New Data'!A368,'[1]New Data'!A:O,15,0)</f>
        <v>9</v>
      </c>
      <c r="J13" s="3">
        <f>VLOOKUP('[1]New Data'!A368,'[1]New Data'!A:P,16,0)</f>
        <v>469.90135750000002</v>
      </c>
      <c r="K13" s="3">
        <f>VLOOKUP('[1]New Data'!A368,'[1]New Data'!A:Q,17,0)</f>
        <v>4229.1122169999999</v>
      </c>
      <c r="L13" s="3" t="str">
        <f>VLOOKUP('[1]New Data'!A13,'[1]New Data'!A:S,19,0)</f>
        <v>Books</v>
      </c>
      <c r="M13" s="3" t="str">
        <f>VLOOKUP('[1]New Data'!A13,'[1]New Data'!A:T,20,0)</f>
        <v>Non-Fiction</v>
      </c>
      <c r="N13" s="5">
        <f>VLOOKUP('[1]New Data'!A368,'[1]New Data'!A:Z,25,0)</f>
        <v>3</v>
      </c>
    </row>
    <row r="14" spans="1:14" hidden="1" x14ac:dyDescent="0.35">
      <c r="A14" s="2">
        <v>4176344</v>
      </c>
      <c r="B14" s="2">
        <v>11393</v>
      </c>
      <c r="C14" s="2" t="s">
        <v>27</v>
      </c>
      <c r="D14" s="2" t="s">
        <v>15</v>
      </c>
      <c r="E14" s="3">
        <f>VLOOKUP('[1]New Data'!A170,'[1]New Data'!A:H,8,0)</f>
        <v>46</v>
      </c>
      <c r="F14" s="3" t="str">
        <f>VLOOKUP('[1]New Data'!A170,'[1]New Data'!A:J,10,0)</f>
        <v>Male</v>
      </c>
      <c r="G14" s="3" t="str">
        <f>VLOOKUP('[1]New Data'!A170,'[1]New Data'!A:K,11,0)</f>
        <v>High</v>
      </c>
      <c r="H14" s="4">
        <f>VLOOKUP('[1]New Data'!A170,'[1]New Data'!A:M,13,0)</f>
        <v>45115</v>
      </c>
      <c r="I14" s="5">
        <f>VLOOKUP('[1]New Data'!A170,'[1]New Data'!A:O,15,0)</f>
        <v>9</v>
      </c>
      <c r="J14" s="3">
        <f>VLOOKUP('[1]New Data'!A170,'[1]New Data'!A:P,16,0)</f>
        <v>457.29234550000001</v>
      </c>
      <c r="K14" s="3">
        <f>VLOOKUP('[1]New Data'!A170,'[1]New Data'!A:Q,17,0)</f>
        <v>4115.6311089999999</v>
      </c>
      <c r="L14" s="3" t="str">
        <f>VLOOKUP('[1]New Data'!A14,'[1]New Data'!A:S,19,0)</f>
        <v>Grocery</v>
      </c>
      <c r="M14" s="3" t="str">
        <f>VLOOKUP('[1]New Data'!A14,'[1]New Data'!A:T,20,0)</f>
        <v>Water</v>
      </c>
      <c r="N14" s="5">
        <f>VLOOKUP('[1]New Data'!A170,'[1]New Data'!A:Z,25,0)</f>
        <v>4</v>
      </c>
    </row>
    <row r="15" spans="1:14" hidden="1" x14ac:dyDescent="0.35">
      <c r="A15" s="2">
        <v>4954042</v>
      </c>
      <c r="B15" s="2">
        <v>74095</v>
      </c>
      <c r="C15" s="2" t="s">
        <v>28</v>
      </c>
      <c r="D15" s="2" t="s">
        <v>15</v>
      </c>
      <c r="E15" s="3">
        <f>VLOOKUP('[1]New Data'!A337,'[1]New Data'!A:H,8,0)</f>
        <v>50</v>
      </c>
      <c r="F15" s="3" t="str">
        <f>VLOOKUP('[1]New Data'!A337,'[1]New Data'!A:J,10,0)</f>
        <v>Male</v>
      </c>
      <c r="G15" s="3" t="str">
        <f>VLOOKUP('[1]New Data'!A337,'[1]New Data'!A:K,11,0)</f>
        <v>Medium</v>
      </c>
      <c r="H15" s="4">
        <f>VLOOKUP('[1]New Data'!A337,'[1]New Data'!A:M,13,0)</f>
        <v>45219</v>
      </c>
      <c r="I15" s="5">
        <f>VLOOKUP('[1]New Data'!A337,'[1]New Data'!A:O,15,0)</f>
        <v>9</v>
      </c>
      <c r="J15" s="3">
        <f>VLOOKUP('[1]New Data'!A337,'[1]New Data'!A:P,16,0)</f>
        <v>448.58926819999999</v>
      </c>
      <c r="K15" s="3">
        <f>VLOOKUP('[1]New Data'!A337,'[1]New Data'!A:Q,17,0)</f>
        <v>4037.303414</v>
      </c>
      <c r="L15" s="3" t="str">
        <f>VLOOKUP('[1]New Data'!A15,'[1]New Data'!A:S,19,0)</f>
        <v>Grocery</v>
      </c>
      <c r="M15" s="3" t="str">
        <f>VLOOKUP('[1]New Data'!A15,'[1]New Data'!A:T,20,0)</f>
        <v>Snacks</v>
      </c>
      <c r="N15" s="5">
        <f>VLOOKUP('[1]New Data'!A337,'[1]New Data'!A:Z,25,0)</f>
        <v>2</v>
      </c>
    </row>
    <row r="16" spans="1:14" hidden="1" x14ac:dyDescent="0.35">
      <c r="A16" s="2">
        <v>3838929</v>
      </c>
      <c r="B16" s="2">
        <v>30563</v>
      </c>
      <c r="C16" s="2" t="s">
        <v>29</v>
      </c>
      <c r="D16" s="2" t="s">
        <v>15</v>
      </c>
      <c r="E16" s="3">
        <f>VLOOKUP('[1]New Data'!A345,'[1]New Data'!A:H,8,0)</f>
        <v>25</v>
      </c>
      <c r="F16" s="3" t="str">
        <f>VLOOKUP('[1]New Data'!A345,'[1]New Data'!A:J,10,0)</f>
        <v>Female</v>
      </c>
      <c r="G16" s="3" t="str">
        <f>VLOOKUP('[1]New Data'!A345,'[1]New Data'!A:K,11,0)</f>
        <v>Medium</v>
      </c>
      <c r="H16" s="4">
        <f>VLOOKUP('[1]New Data'!A345,'[1]New Data'!A:M,13,0)</f>
        <v>45316</v>
      </c>
      <c r="I16" s="5">
        <f>VLOOKUP('[1]New Data'!A345,'[1]New Data'!A:O,15,0)</f>
        <v>10</v>
      </c>
      <c r="J16" s="3">
        <f>VLOOKUP('[1]New Data'!A345,'[1]New Data'!A:P,16,0)</f>
        <v>402.44745699999999</v>
      </c>
      <c r="K16" s="3">
        <f>VLOOKUP('[1]New Data'!A345,'[1]New Data'!A:Q,17,0)</f>
        <v>4024.4745699999999</v>
      </c>
      <c r="L16" s="3" t="str">
        <f>VLOOKUP('[1]New Data'!A16,'[1]New Data'!A:S,19,0)</f>
        <v>Clothing</v>
      </c>
      <c r="M16" s="3" t="str">
        <f>VLOOKUP('[1]New Data'!A16,'[1]New Data'!A:T,20,0)</f>
        <v>T-shirt</v>
      </c>
      <c r="N16" s="5">
        <f>VLOOKUP('[1]New Data'!A345,'[1]New Data'!A:Z,25,0)</f>
        <v>4</v>
      </c>
    </row>
    <row r="17" spans="1:14" hidden="1" x14ac:dyDescent="0.35">
      <c r="A17" s="2">
        <v>6748475</v>
      </c>
      <c r="B17" s="2">
        <v>26560</v>
      </c>
      <c r="C17" s="2" t="s">
        <v>30</v>
      </c>
      <c r="D17" s="2" t="s">
        <v>15</v>
      </c>
      <c r="E17" s="3">
        <f>VLOOKUP('[1]New Data'!A448,'[1]New Data'!A:H,8,0)</f>
        <v>45</v>
      </c>
      <c r="F17" s="3" t="str">
        <f>VLOOKUP('[1]New Data'!A448,'[1]New Data'!A:J,10,0)</f>
        <v>Male</v>
      </c>
      <c r="G17" s="3" t="str">
        <f>VLOOKUP('[1]New Data'!A448,'[1]New Data'!A:K,11,0)</f>
        <v>Low</v>
      </c>
      <c r="H17" s="4">
        <f>VLOOKUP('[1]New Data'!A448,'[1]New Data'!A:M,13,0)</f>
        <v>45250</v>
      </c>
      <c r="I17" s="5">
        <f>VLOOKUP('[1]New Data'!A448,'[1]New Data'!A:O,15,0)</f>
        <v>9</v>
      </c>
      <c r="J17" s="3">
        <f>VLOOKUP('[1]New Data'!A448,'[1]New Data'!A:P,16,0)</f>
        <v>442.43493230000001</v>
      </c>
      <c r="K17" s="3">
        <f>VLOOKUP('[1]New Data'!A448,'[1]New Data'!A:Q,17,0)</f>
        <v>3981.9143899999999</v>
      </c>
      <c r="L17" s="3" t="str">
        <f>VLOOKUP('[1]New Data'!A17,'[1]New Data'!A:S,19,0)</f>
        <v>Books</v>
      </c>
      <c r="M17" s="3" t="str">
        <f>VLOOKUP('[1]New Data'!A17,'[1]New Data'!A:T,20,0)</f>
        <v>Literature</v>
      </c>
      <c r="N17" s="5">
        <f>VLOOKUP('[1]New Data'!A448,'[1]New Data'!A:Z,25,0)</f>
        <v>2</v>
      </c>
    </row>
    <row r="18" spans="1:14" hidden="1" x14ac:dyDescent="0.35">
      <c r="A18" s="2">
        <v>8728095</v>
      </c>
      <c r="B18" s="2">
        <v>40705</v>
      </c>
      <c r="C18" s="2" t="s">
        <v>31</v>
      </c>
      <c r="D18" s="2" t="s">
        <v>15</v>
      </c>
      <c r="E18" s="3">
        <f>VLOOKUP('[1]New Data'!A380,'[1]New Data'!A:H,8,0)</f>
        <v>36</v>
      </c>
      <c r="F18" s="3" t="str">
        <f>VLOOKUP('[1]New Data'!A380,'[1]New Data'!A:J,10,0)</f>
        <v>Male</v>
      </c>
      <c r="G18" s="3" t="str">
        <f>VLOOKUP('[1]New Data'!A380,'[1]New Data'!A:K,11,0)</f>
        <v>Low</v>
      </c>
      <c r="H18" s="4">
        <f>VLOOKUP('[1]New Data'!A380,'[1]New Data'!A:M,13,0)</f>
        <v>44996</v>
      </c>
      <c r="I18" s="5">
        <f>VLOOKUP('[1]New Data'!A380,'[1]New Data'!A:O,15,0)</f>
        <v>8</v>
      </c>
      <c r="J18" s="3">
        <f>VLOOKUP('[1]New Data'!A380,'[1]New Data'!A:P,16,0)</f>
        <v>497.53193140000002</v>
      </c>
      <c r="K18" s="3">
        <f>VLOOKUP('[1]New Data'!A380,'[1]New Data'!A:Q,17,0)</f>
        <v>3980.255451</v>
      </c>
      <c r="L18" s="3" t="str">
        <f>VLOOKUP('[1]New Data'!A18,'[1]New Data'!A:S,19,0)</f>
        <v>Grocery</v>
      </c>
      <c r="M18" s="3" t="str">
        <f>VLOOKUP('[1]New Data'!A18,'[1]New Data'!A:T,20,0)</f>
        <v>Water</v>
      </c>
      <c r="N18" s="5">
        <f>VLOOKUP('[1]New Data'!A380,'[1]New Data'!A:Z,25,0)</f>
        <v>1</v>
      </c>
    </row>
    <row r="19" spans="1:14" hidden="1" x14ac:dyDescent="0.35">
      <c r="A19" s="2">
        <v>4926148</v>
      </c>
      <c r="B19" s="2">
        <v>31878</v>
      </c>
      <c r="C19" s="2" t="s">
        <v>32</v>
      </c>
      <c r="D19" s="2" t="s">
        <v>33</v>
      </c>
      <c r="E19" s="3">
        <f>VLOOKUP('[1]New Data'!A11,'[1]New Data'!A:H,8,0)</f>
        <v>25</v>
      </c>
      <c r="F19" s="3" t="str">
        <f>VLOOKUP('[1]New Data'!A11,'[1]New Data'!A:J,10,0)</f>
        <v>Male</v>
      </c>
      <c r="G19" s="3" t="str">
        <f>VLOOKUP('[1]New Data'!A11,'[1]New Data'!A:K,11,0)</f>
        <v>Medium</v>
      </c>
      <c r="H19" s="4">
        <f>VLOOKUP('[1]New Data'!A11,'[1]New Data'!A:M,13,0)</f>
        <v>45203</v>
      </c>
      <c r="I19" s="5">
        <f>VLOOKUP('[1]New Data'!A11,'[1]New Data'!A:O,15,0)</f>
        <v>10</v>
      </c>
      <c r="J19" s="3">
        <f>VLOOKUP('[1]New Data'!A11,'[1]New Data'!A:P,16,0)</f>
        <v>397.61122949999998</v>
      </c>
      <c r="K19" s="3">
        <f>VLOOKUP('[1]New Data'!A11,'[1]New Data'!A:Q,17,0)</f>
        <v>3976.1122949999999</v>
      </c>
      <c r="L19" s="3" t="str">
        <f>VLOOKUP('[1]New Data'!A19,'[1]New Data'!A:S,19,0)</f>
        <v>Electronics</v>
      </c>
      <c r="M19" s="3" t="str">
        <f>VLOOKUP('[1]New Data'!A19,'[1]New Data'!A:T,20,0)</f>
        <v>Tablet</v>
      </c>
      <c r="N19" s="5">
        <f>VLOOKUP('[1]New Data'!A11,'[1]New Data'!A:Z,25,0)</f>
        <v>4</v>
      </c>
    </row>
    <row r="20" spans="1:14" hidden="1" x14ac:dyDescent="0.35">
      <c r="A20" s="2">
        <v>7242747</v>
      </c>
      <c r="B20" s="2">
        <v>73394</v>
      </c>
      <c r="C20" s="2" t="s">
        <v>34</v>
      </c>
      <c r="D20" s="2" t="s">
        <v>15</v>
      </c>
      <c r="E20" s="3">
        <f>VLOOKUP('[1]New Data'!A281,'[1]New Data'!A:H,8,0)</f>
        <v>28</v>
      </c>
      <c r="F20" s="3" t="str">
        <f>VLOOKUP('[1]New Data'!A281,'[1]New Data'!A:J,10,0)</f>
        <v>Male</v>
      </c>
      <c r="G20" s="3" t="str">
        <f>VLOOKUP('[1]New Data'!A281,'[1]New Data'!A:K,11,0)</f>
        <v>Medium</v>
      </c>
      <c r="H20" s="4">
        <f>VLOOKUP('[1]New Data'!A281,'[1]New Data'!A:M,13,0)</f>
        <v>45118</v>
      </c>
      <c r="I20" s="5">
        <f>VLOOKUP('[1]New Data'!A281,'[1]New Data'!A:O,15,0)</f>
        <v>9</v>
      </c>
      <c r="J20" s="3">
        <f>VLOOKUP('[1]New Data'!A281,'[1]New Data'!A:P,16,0)</f>
        <v>441.43599929999999</v>
      </c>
      <c r="K20" s="3">
        <f>VLOOKUP('[1]New Data'!A281,'[1]New Data'!A:Q,17,0)</f>
        <v>3972.9239940000002</v>
      </c>
      <c r="L20" s="3" t="str">
        <f>VLOOKUP('[1]New Data'!A20,'[1]New Data'!A:S,19,0)</f>
        <v>Grocery</v>
      </c>
      <c r="M20" s="3" t="str">
        <f>VLOOKUP('[1]New Data'!A20,'[1]New Data'!A:T,20,0)</f>
        <v>Juice</v>
      </c>
      <c r="N20" s="5">
        <f>VLOOKUP('[1]New Data'!A281,'[1]New Data'!A:Z,25,0)</f>
        <v>2</v>
      </c>
    </row>
    <row r="21" spans="1:14" x14ac:dyDescent="0.35">
      <c r="A21" s="2">
        <v>9702392</v>
      </c>
      <c r="B21" s="2">
        <v>75848</v>
      </c>
      <c r="C21" s="2" t="s">
        <v>35</v>
      </c>
      <c r="D21" s="2" t="s">
        <v>15</v>
      </c>
      <c r="E21" s="3">
        <f>VLOOKUP('[1]New Data'!A480,'[1]New Data'!A:H,8,0)</f>
        <v>52</v>
      </c>
      <c r="F21" s="3" t="str">
        <f>VLOOKUP('[1]New Data'!A480,'[1]New Data'!A:J,10,0)</f>
        <v>Female</v>
      </c>
      <c r="G21" s="3" t="str">
        <f>VLOOKUP('[1]New Data'!A480,'[1]New Data'!A:K,11,0)</f>
        <v>Medium</v>
      </c>
      <c r="H21" s="4">
        <f>VLOOKUP('[1]New Data'!A480,'[1]New Data'!A:M,13,0)</f>
        <v>45332</v>
      </c>
      <c r="I21" s="5">
        <f>VLOOKUP('[1]New Data'!A480,'[1]New Data'!A:O,15,0)</f>
        <v>9</v>
      </c>
      <c r="J21" s="3">
        <f>VLOOKUP('[1]New Data'!A480,'[1]New Data'!A:P,16,0)</f>
        <v>438.11646539999998</v>
      </c>
      <c r="K21" s="3">
        <f>VLOOKUP('[1]New Data'!A480,'[1]New Data'!A:Q,17,0)</f>
        <v>3943.0481890000001</v>
      </c>
      <c r="L21" s="3" t="str">
        <f>VLOOKUP('[1]New Data'!A21,'[1]New Data'!A:S,19,0)</f>
        <v>Home Decor</v>
      </c>
      <c r="M21" s="3" t="str">
        <f>VLOOKUP('[1]New Data'!A21,'[1]New Data'!A:T,20,0)</f>
        <v>Furniture</v>
      </c>
      <c r="N21" s="5">
        <f>VLOOKUP('[1]New Data'!A480,'[1]New Data'!A:Z,25,0)</f>
        <v>4</v>
      </c>
    </row>
    <row r="22" spans="1:14" hidden="1" x14ac:dyDescent="0.35">
      <c r="A22" s="2">
        <v>3528652</v>
      </c>
      <c r="B22" s="2">
        <v>26940</v>
      </c>
      <c r="C22" s="2" t="s">
        <v>36</v>
      </c>
      <c r="D22" s="2" t="s">
        <v>15</v>
      </c>
      <c r="E22" s="3">
        <f>VLOOKUP('[1]New Data'!A137,'[1]New Data'!A:H,8,0)</f>
        <v>68</v>
      </c>
      <c r="F22" s="3" t="str">
        <f>VLOOKUP('[1]New Data'!A137,'[1]New Data'!A:J,10,0)</f>
        <v>Male</v>
      </c>
      <c r="G22" s="3" t="str">
        <f>VLOOKUP('[1]New Data'!A137,'[1]New Data'!A:K,11,0)</f>
        <v>Medium</v>
      </c>
      <c r="H22" s="4">
        <f>VLOOKUP('[1]New Data'!A137,'[1]New Data'!A:M,13,0)</f>
        <v>45122</v>
      </c>
      <c r="I22" s="5">
        <f>VLOOKUP('[1]New Data'!A137,'[1]New Data'!A:O,15,0)</f>
        <v>8</v>
      </c>
      <c r="J22" s="3">
        <f>VLOOKUP('[1]New Data'!A137,'[1]New Data'!A:P,16,0)</f>
        <v>492.54553349999998</v>
      </c>
      <c r="K22" s="3">
        <f>VLOOKUP('[1]New Data'!A137,'[1]New Data'!A:Q,17,0)</f>
        <v>3940.3642679999998</v>
      </c>
      <c r="L22" s="3" t="str">
        <f>VLOOKUP('[1]New Data'!A22,'[1]New Data'!A:S,19,0)</f>
        <v>Grocery</v>
      </c>
      <c r="M22" s="3" t="str">
        <f>VLOOKUP('[1]New Data'!A22,'[1]New Data'!A:T,20,0)</f>
        <v>Coffee</v>
      </c>
      <c r="N22" s="5">
        <f>VLOOKUP('[1]New Data'!A137,'[1]New Data'!A:Z,25,0)</f>
        <v>4</v>
      </c>
    </row>
    <row r="23" spans="1:14" hidden="1" x14ac:dyDescent="0.35">
      <c r="A23" s="2">
        <v>5476448</v>
      </c>
      <c r="B23" s="2">
        <v>15698</v>
      </c>
      <c r="C23" s="2" t="s">
        <v>37</v>
      </c>
      <c r="D23" s="2" t="s">
        <v>15</v>
      </c>
      <c r="E23" s="3">
        <f>VLOOKUP('[1]New Data'!A252,'[1]New Data'!A:H,8,0)</f>
        <v>50</v>
      </c>
      <c r="F23" s="3" t="str">
        <f>VLOOKUP('[1]New Data'!A252,'[1]New Data'!A:J,10,0)</f>
        <v>Male</v>
      </c>
      <c r="G23" s="3" t="str">
        <f>VLOOKUP('[1]New Data'!A252,'[1]New Data'!A:K,11,0)</f>
        <v>Medium</v>
      </c>
      <c r="H23" s="4">
        <f>VLOOKUP('[1]New Data'!A252,'[1]New Data'!A:M,13,0)</f>
        <v>45341</v>
      </c>
      <c r="I23" s="5">
        <f>VLOOKUP('[1]New Data'!A252,'[1]New Data'!A:O,15,0)</f>
        <v>8</v>
      </c>
      <c r="J23" s="3">
        <f>VLOOKUP('[1]New Data'!A252,'[1]New Data'!A:P,16,0)</f>
        <v>486.40987669999998</v>
      </c>
      <c r="K23" s="3">
        <f>VLOOKUP('[1]New Data'!A252,'[1]New Data'!A:Q,17,0)</f>
        <v>3891.2790140000002</v>
      </c>
      <c r="L23" s="3" t="str">
        <f>VLOOKUP('[1]New Data'!A23,'[1]New Data'!A:S,19,0)</f>
        <v>Books</v>
      </c>
      <c r="M23" s="3" t="str">
        <f>VLOOKUP('[1]New Data'!A23,'[1]New Data'!A:T,20,0)</f>
        <v>Non-Fiction</v>
      </c>
      <c r="N23" s="5">
        <f>VLOOKUP('[1]New Data'!A252,'[1]New Data'!A:Z,25,0)</f>
        <v>5</v>
      </c>
    </row>
    <row r="24" spans="1:14" hidden="1" x14ac:dyDescent="0.35">
      <c r="A24" s="2">
        <v>6921233</v>
      </c>
      <c r="B24" s="2">
        <v>21381</v>
      </c>
      <c r="C24" s="2" t="s">
        <v>38</v>
      </c>
      <c r="D24" s="2" t="s">
        <v>15</v>
      </c>
      <c r="E24" s="3">
        <f>VLOOKUP('[1]New Data'!A58,'[1]New Data'!A:H,8,0)</f>
        <v>67</v>
      </c>
      <c r="F24" s="3" t="str">
        <f>VLOOKUP('[1]New Data'!A58,'[1]New Data'!A:J,10,0)</f>
        <v>Male</v>
      </c>
      <c r="G24" s="3" t="str">
        <f>VLOOKUP('[1]New Data'!A58,'[1]New Data'!A:K,11,0)</f>
        <v>Medium</v>
      </c>
      <c r="H24" s="4">
        <f>VLOOKUP('[1]New Data'!A58,'[1]New Data'!A:M,13,0)</f>
        <v>45256</v>
      </c>
      <c r="I24" s="5">
        <f>VLOOKUP('[1]New Data'!A58,'[1]New Data'!A:O,15,0)</f>
        <v>10</v>
      </c>
      <c r="J24" s="3">
        <f>VLOOKUP('[1]New Data'!A58,'[1]New Data'!A:P,16,0)</f>
        <v>387.55344580000002</v>
      </c>
      <c r="K24" s="3">
        <f>VLOOKUP('[1]New Data'!A58,'[1]New Data'!A:Q,17,0)</f>
        <v>3875.5344580000001</v>
      </c>
      <c r="L24" s="3" t="str">
        <f>VLOOKUP('[1]New Data'!A24,'[1]New Data'!A:S,19,0)</f>
        <v>Books</v>
      </c>
      <c r="M24" s="3" t="str">
        <f>VLOOKUP('[1]New Data'!A24,'[1]New Data'!A:T,20,0)</f>
        <v>Non-Fiction</v>
      </c>
      <c r="N24" s="5">
        <f>VLOOKUP('[1]New Data'!A58,'[1]New Data'!A:Z,25,0)</f>
        <v>2</v>
      </c>
    </row>
    <row r="25" spans="1:14" x14ac:dyDescent="0.35">
      <c r="A25" s="2">
        <v>7918631</v>
      </c>
      <c r="B25" s="2">
        <v>30726</v>
      </c>
      <c r="C25" s="2" t="s">
        <v>39</v>
      </c>
      <c r="D25" s="2" t="s">
        <v>15</v>
      </c>
      <c r="E25" s="3">
        <f>VLOOKUP('[1]New Data'!A248,'[1]New Data'!A:H,8,0)</f>
        <v>64</v>
      </c>
      <c r="F25" s="3" t="str">
        <f>VLOOKUP('[1]New Data'!A248,'[1]New Data'!A:J,10,0)</f>
        <v>Male</v>
      </c>
      <c r="G25" s="3" t="str">
        <f>VLOOKUP('[1]New Data'!A248,'[1]New Data'!A:K,11,0)</f>
        <v>Medium</v>
      </c>
      <c r="H25" s="4">
        <f>VLOOKUP('[1]New Data'!A248,'[1]New Data'!A:M,13,0)</f>
        <v>45143</v>
      </c>
      <c r="I25" s="5">
        <f>VLOOKUP('[1]New Data'!A248,'[1]New Data'!A:O,15,0)</f>
        <v>9</v>
      </c>
      <c r="J25" s="3">
        <f>VLOOKUP('[1]New Data'!A248,'[1]New Data'!A:P,16,0)</f>
        <v>430.10281420000001</v>
      </c>
      <c r="K25" s="3">
        <f>VLOOKUP('[1]New Data'!A248,'[1]New Data'!A:Q,17,0)</f>
        <v>3870.9253279999998</v>
      </c>
      <c r="L25" s="3" t="str">
        <f>VLOOKUP('[1]New Data'!A25,'[1]New Data'!A:S,19,0)</f>
        <v>Home Decor</v>
      </c>
      <c r="M25" s="3" t="str">
        <f>VLOOKUP('[1]New Data'!A25,'[1]New Data'!A:T,20,0)</f>
        <v>Bathroom</v>
      </c>
      <c r="N25" s="5">
        <f>VLOOKUP('[1]New Data'!A248,'[1]New Data'!A:Z,25,0)</f>
        <v>1</v>
      </c>
    </row>
    <row r="26" spans="1:14" hidden="1" x14ac:dyDescent="0.35">
      <c r="A26" s="2">
        <v>8697012</v>
      </c>
      <c r="B26" s="2">
        <v>16597</v>
      </c>
      <c r="C26" s="2" t="s">
        <v>40</v>
      </c>
      <c r="D26" s="2" t="s">
        <v>15</v>
      </c>
      <c r="E26" s="3">
        <f>VLOOKUP('[1]New Data'!A214,'[1]New Data'!A:H,8,0)</f>
        <v>70</v>
      </c>
      <c r="F26" s="3" t="str">
        <f>VLOOKUP('[1]New Data'!A214,'[1]New Data'!A:J,10,0)</f>
        <v>Male</v>
      </c>
      <c r="G26" s="3" t="str">
        <f>VLOOKUP('[1]New Data'!A214,'[1]New Data'!A:K,11,0)</f>
        <v>Medium</v>
      </c>
      <c r="H26" s="4">
        <f>VLOOKUP('[1]New Data'!A214,'[1]New Data'!A:M,13,0)</f>
        <v>45263</v>
      </c>
      <c r="I26" s="5">
        <f>VLOOKUP('[1]New Data'!A214,'[1]New Data'!A:O,15,0)</f>
        <v>10</v>
      </c>
      <c r="J26" s="3">
        <f>VLOOKUP('[1]New Data'!A214,'[1]New Data'!A:P,16,0)</f>
        <v>385.98386649999998</v>
      </c>
      <c r="K26" s="3">
        <f>VLOOKUP('[1]New Data'!A214,'[1]New Data'!A:Q,17,0)</f>
        <v>3859.8386650000002</v>
      </c>
      <c r="L26" s="3" t="str">
        <f>VLOOKUP('[1]New Data'!A26,'[1]New Data'!A:S,19,0)</f>
        <v>Grocery</v>
      </c>
      <c r="M26" s="3" t="str">
        <f>VLOOKUP('[1]New Data'!A26,'[1]New Data'!A:T,20,0)</f>
        <v>Juice</v>
      </c>
      <c r="N26" s="5">
        <f>VLOOKUP('[1]New Data'!A214,'[1]New Data'!A:Z,25,0)</f>
        <v>4</v>
      </c>
    </row>
    <row r="27" spans="1:14" x14ac:dyDescent="0.35">
      <c r="A27" s="2">
        <v>4199333</v>
      </c>
      <c r="B27" s="2">
        <v>61101</v>
      </c>
      <c r="C27" s="2" t="s">
        <v>41</v>
      </c>
      <c r="D27" s="2" t="s">
        <v>15</v>
      </c>
      <c r="E27" s="3">
        <f>VLOOKUP('[1]New Data'!A292,'[1]New Data'!A:H,8,0)</f>
        <v>60</v>
      </c>
      <c r="F27" s="3" t="str">
        <f>VLOOKUP('[1]New Data'!A292,'[1]New Data'!A:J,10,0)</f>
        <v>Male</v>
      </c>
      <c r="G27" s="3" t="str">
        <f>VLOOKUP('[1]New Data'!A292,'[1]New Data'!A:K,11,0)</f>
        <v>Medium</v>
      </c>
      <c r="H27" s="4">
        <f>VLOOKUP('[1]New Data'!A292,'[1]New Data'!A:M,13,0)</f>
        <v>45322</v>
      </c>
      <c r="I27" s="5">
        <f>VLOOKUP('[1]New Data'!A292,'[1]New Data'!A:O,15,0)</f>
        <v>9</v>
      </c>
      <c r="J27" s="3">
        <f>VLOOKUP('[1]New Data'!A292,'[1]New Data'!A:P,16,0)</f>
        <v>427.04043259999997</v>
      </c>
      <c r="K27" s="3">
        <f>VLOOKUP('[1]New Data'!A292,'[1]New Data'!A:Q,17,0)</f>
        <v>3843.3638940000001</v>
      </c>
      <c r="L27" s="3" t="str">
        <f>VLOOKUP('[1]New Data'!A27,'[1]New Data'!A:S,19,0)</f>
        <v>Home Decor</v>
      </c>
      <c r="M27" s="3" t="str">
        <f>VLOOKUP('[1]New Data'!A27,'[1]New Data'!A:T,20,0)</f>
        <v>Kitchen</v>
      </c>
      <c r="N27" s="5">
        <f>VLOOKUP('[1]New Data'!A292,'[1]New Data'!A:Z,25,0)</f>
        <v>5</v>
      </c>
    </row>
    <row r="28" spans="1:14" hidden="1" x14ac:dyDescent="0.35">
      <c r="A28" s="2">
        <v>7916796</v>
      </c>
      <c r="B28" s="2">
        <v>38118</v>
      </c>
      <c r="C28" s="2" t="s">
        <v>42</v>
      </c>
      <c r="D28" s="2" t="s">
        <v>15</v>
      </c>
      <c r="E28" s="3">
        <f>VLOOKUP('[1]New Data'!A206,'[1]New Data'!A:H,8,0)</f>
        <v>51</v>
      </c>
      <c r="F28" s="3" t="str">
        <f>VLOOKUP('[1]New Data'!A206,'[1]New Data'!A:J,10,0)</f>
        <v>Male</v>
      </c>
      <c r="G28" s="3" t="str">
        <f>VLOOKUP('[1]New Data'!A206,'[1]New Data'!A:K,11,0)</f>
        <v>Medium</v>
      </c>
      <c r="H28" s="4">
        <f>VLOOKUP('[1]New Data'!A206,'[1]New Data'!A:M,13,0)</f>
        <v>45092</v>
      </c>
      <c r="I28" s="5">
        <f>VLOOKUP('[1]New Data'!A206,'[1]New Data'!A:O,15,0)</f>
        <v>9</v>
      </c>
      <c r="J28" s="3">
        <f>VLOOKUP('[1]New Data'!A206,'[1]New Data'!A:P,16,0)</f>
        <v>418.47161390000002</v>
      </c>
      <c r="K28" s="3">
        <f>VLOOKUP('[1]New Data'!A206,'[1]New Data'!A:Q,17,0)</f>
        <v>3766.2445250000001</v>
      </c>
      <c r="L28" s="3" t="str">
        <f>VLOOKUP('[1]New Data'!A28,'[1]New Data'!A:S,19,0)</f>
        <v>Electronics</v>
      </c>
      <c r="M28" s="3" t="str">
        <f>VLOOKUP('[1]New Data'!A28,'[1]New Data'!A:T,20,0)</f>
        <v>Smartphone</v>
      </c>
      <c r="N28" s="5">
        <f>VLOOKUP('[1]New Data'!A206,'[1]New Data'!A:Z,25,0)</f>
        <v>1</v>
      </c>
    </row>
    <row r="29" spans="1:14" hidden="1" x14ac:dyDescent="0.35">
      <c r="A29" s="2">
        <v>6298651</v>
      </c>
      <c r="B29" s="2">
        <v>50555</v>
      </c>
      <c r="C29" s="2" t="s">
        <v>43</v>
      </c>
      <c r="D29" s="2" t="s">
        <v>15</v>
      </c>
      <c r="E29" s="3">
        <f>VLOOKUP('[1]New Data'!A117,'[1]New Data'!A:H,8,0)</f>
        <v>68</v>
      </c>
      <c r="F29" s="3" t="str">
        <f>VLOOKUP('[1]New Data'!A117,'[1]New Data'!A:J,10,0)</f>
        <v>Male</v>
      </c>
      <c r="G29" s="3" t="str">
        <f>VLOOKUP('[1]New Data'!A117,'[1]New Data'!A:K,11,0)</f>
        <v>Low</v>
      </c>
      <c r="H29" s="4">
        <f>VLOOKUP('[1]New Data'!A117,'[1]New Data'!A:M,13,0)</f>
        <v>45324</v>
      </c>
      <c r="I29" s="5">
        <f>VLOOKUP('[1]New Data'!A117,'[1]New Data'!A:O,15,0)</f>
        <v>10</v>
      </c>
      <c r="J29" s="3">
        <f>VLOOKUP('[1]New Data'!A117,'[1]New Data'!A:P,16,0)</f>
        <v>373.83639829999998</v>
      </c>
      <c r="K29" s="3">
        <f>VLOOKUP('[1]New Data'!A117,'[1]New Data'!A:Q,17,0)</f>
        <v>3738.3639830000002</v>
      </c>
      <c r="L29" s="3" t="str">
        <f>VLOOKUP('[1]New Data'!A29,'[1]New Data'!A:S,19,0)</f>
        <v>Electronics</v>
      </c>
      <c r="M29" s="3" t="str">
        <f>VLOOKUP('[1]New Data'!A29,'[1]New Data'!A:T,20,0)</f>
        <v>Tablet</v>
      </c>
      <c r="N29" s="5">
        <f>VLOOKUP('[1]New Data'!A117,'[1]New Data'!A:Z,25,0)</f>
        <v>1</v>
      </c>
    </row>
    <row r="30" spans="1:14" x14ac:dyDescent="0.35">
      <c r="A30" s="2">
        <v>8966152</v>
      </c>
      <c r="B30" s="2">
        <v>42739</v>
      </c>
      <c r="C30" s="2" t="s">
        <v>44</v>
      </c>
      <c r="D30" s="2" t="s">
        <v>15</v>
      </c>
      <c r="E30" s="3">
        <f>VLOOKUP('[1]New Data'!A271,'[1]New Data'!A:H,8,0)</f>
        <v>21</v>
      </c>
      <c r="F30" s="3" t="str">
        <f>VLOOKUP('[1]New Data'!A271,'[1]New Data'!A:J,10,0)</f>
        <v>Male</v>
      </c>
      <c r="G30" s="3" t="str">
        <f>VLOOKUP('[1]New Data'!A271,'[1]New Data'!A:K,11,0)</f>
        <v>Low</v>
      </c>
      <c r="H30" s="4">
        <f>VLOOKUP('[1]New Data'!A271,'[1]New Data'!A:M,13,0)</f>
        <v>45140</v>
      </c>
      <c r="I30" s="5">
        <f>VLOOKUP('[1]New Data'!A271,'[1]New Data'!A:O,15,0)</f>
        <v>10</v>
      </c>
      <c r="J30" s="3">
        <f>VLOOKUP('[1]New Data'!A271,'[1]New Data'!A:P,16,0)</f>
        <v>370.5443899</v>
      </c>
      <c r="K30" s="3">
        <f>VLOOKUP('[1]New Data'!A271,'[1]New Data'!A:Q,17,0)</f>
        <v>3705.4438989999999</v>
      </c>
      <c r="L30" s="3" t="str">
        <f>VLOOKUP('[1]New Data'!A30,'[1]New Data'!A:S,19,0)</f>
        <v>Home Decor</v>
      </c>
      <c r="M30" s="3" t="str">
        <f>VLOOKUP('[1]New Data'!A30,'[1]New Data'!A:T,20,0)</f>
        <v>Decorations</v>
      </c>
      <c r="N30" s="5">
        <f>VLOOKUP('[1]New Data'!A271,'[1]New Data'!A:Z,25,0)</f>
        <v>5</v>
      </c>
    </row>
    <row r="31" spans="1:14" hidden="1" x14ac:dyDescent="0.35">
      <c r="A31" s="2">
        <v>6983938</v>
      </c>
      <c r="B31" s="2">
        <v>15757</v>
      </c>
      <c r="C31" s="2" t="s">
        <v>45</v>
      </c>
      <c r="D31" s="2" t="s">
        <v>15</v>
      </c>
      <c r="E31" s="3">
        <f>VLOOKUP('[1]New Data'!A93,'[1]New Data'!A:H,8,0)</f>
        <v>35</v>
      </c>
      <c r="F31" s="3" t="str">
        <f>VLOOKUP('[1]New Data'!A93,'[1]New Data'!A:J,10,0)</f>
        <v>Male</v>
      </c>
      <c r="G31" s="3" t="str">
        <f>VLOOKUP('[1]New Data'!A93,'[1]New Data'!A:K,11,0)</f>
        <v>Medium</v>
      </c>
      <c r="H31" s="4">
        <f>VLOOKUP('[1]New Data'!A93,'[1]New Data'!A:M,13,0)</f>
        <v>45105</v>
      </c>
      <c r="I31" s="5">
        <f>VLOOKUP('[1]New Data'!A93,'[1]New Data'!A:O,15,0)</f>
        <v>10</v>
      </c>
      <c r="J31" s="3">
        <f>VLOOKUP('[1]New Data'!A93,'[1]New Data'!A:P,16,0)</f>
        <v>363.48134479999999</v>
      </c>
      <c r="K31" s="3">
        <f>VLOOKUP('[1]New Data'!A93,'[1]New Data'!A:Q,17,0)</f>
        <v>3634.8134479999999</v>
      </c>
      <c r="L31" s="3" t="str">
        <f>VLOOKUP('[1]New Data'!A31,'[1]New Data'!A:S,19,0)</f>
        <v>Grocery</v>
      </c>
      <c r="M31" s="3" t="str">
        <f>VLOOKUP('[1]New Data'!A31,'[1]New Data'!A:T,20,0)</f>
        <v>Juice</v>
      </c>
      <c r="N31" s="5">
        <f>VLOOKUP('[1]New Data'!A93,'[1]New Data'!A:Z,25,0)</f>
        <v>2</v>
      </c>
    </row>
    <row r="32" spans="1:14" hidden="1" x14ac:dyDescent="0.35">
      <c r="A32" s="2">
        <v>5816644</v>
      </c>
      <c r="B32" s="2">
        <v>38393</v>
      </c>
      <c r="C32" s="2" t="s">
        <v>46</v>
      </c>
      <c r="D32" s="2" t="s">
        <v>15</v>
      </c>
      <c r="E32" s="3">
        <f>VLOOKUP('[1]New Data'!A330,'[1]New Data'!A:H,8,0)</f>
        <v>49</v>
      </c>
      <c r="F32" s="3" t="str">
        <f>VLOOKUP('[1]New Data'!A330,'[1]New Data'!A:J,10,0)</f>
        <v>Male</v>
      </c>
      <c r="G32" s="3" t="str">
        <f>VLOOKUP('[1]New Data'!A330,'[1]New Data'!A:K,11,0)</f>
        <v>Medium</v>
      </c>
      <c r="H32" s="4">
        <f>VLOOKUP('[1]New Data'!A330,'[1]New Data'!A:M,13,0)</f>
        <v>45059</v>
      </c>
      <c r="I32" s="5">
        <f>VLOOKUP('[1]New Data'!A330,'[1]New Data'!A:O,15,0)</f>
        <v>9</v>
      </c>
      <c r="J32" s="3">
        <f>VLOOKUP('[1]New Data'!A330,'[1]New Data'!A:P,16,0)</f>
        <v>403.83737309999998</v>
      </c>
      <c r="K32" s="3">
        <f>VLOOKUP('[1]New Data'!A330,'[1]New Data'!A:Q,17,0)</f>
        <v>3634.5363579999998</v>
      </c>
      <c r="L32" s="3" t="str">
        <f>VLOOKUP('[1]New Data'!A32,'[1]New Data'!A:S,19,0)</f>
        <v>Clothing</v>
      </c>
      <c r="M32" s="3" t="str">
        <f>VLOOKUP('[1]New Data'!A32,'[1]New Data'!A:T,20,0)</f>
        <v>Shoes</v>
      </c>
      <c r="N32" s="5">
        <f>VLOOKUP('[1]New Data'!A330,'[1]New Data'!A:Z,25,0)</f>
        <v>1</v>
      </c>
    </row>
    <row r="33" spans="1:14" hidden="1" x14ac:dyDescent="0.35">
      <c r="A33" s="2">
        <v>2859196</v>
      </c>
      <c r="B33" s="2">
        <v>73353</v>
      </c>
      <c r="C33" s="2" t="s">
        <v>47</v>
      </c>
      <c r="D33" s="2" t="s">
        <v>15</v>
      </c>
      <c r="E33" s="3">
        <f>VLOOKUP('[1]New Data'!A321,'[1]New Data'!A:H,8,0)</f>
        <v>63</v>
      </c>
      <c r="F33" s="3" t="str">
        <f>VLOOKUP('[1]New Data'!A321,'[1]New Data'!A:J,10,0)</f>
        <v>Male</v>
      </c>
      <c r="G33" s="3" t="str">
        <f>VLOOKUP('[1]New Data'!A321,'[1]New Data'!A:K,11,0)</f>
        <v>Medium</v>
      </c>
      <c r="H33" s="4">
        <f>VLOOKUP('[1]New Data'!A321,'[1]New Data'!A:M,13,0)</f>
        <v>45003</v>
      </c>
      <c r="I33" s="5">
        <f>VLOOKUP('[1]New Data'!A321,'[1]New Data'!A:O,15,0)</f>
        <v>10</v>
      </c>
      <c r="J33" s="3">
        <f>VLOOKUP('[1]New Data'!A321,'[1]New Data'!A:P,16,0)</f>
        <v>362.62191960000001</v>
      </c>
      <c r="K33" s="3">
        <f>VLOOKUP('[1]New Data'!A321,'[1]New Data'!A:Q,17,0)</f>
        <v>3626.219196</v>
      </c>
      <c r="L33" s="3" t="str">
        <f>VLOOKUP('[1]New Data'!A33,'[1]New Data'!A:S,19,0)</f>
        <v>Books</v>
      </c>
      <c r="M33" s="3" t="str">
        <f>VLOOKUP('[1]New Data'!A33,'[1]New Data'!A:T,20,0)</f>
        <v>Thriller</v>
      </c>
      <c r="N33" s="5">
        <f>VLOOKUP('[1]New Data'!A321,'[1]New Data'!A:Z,25,0)</f>
        <v>4</v>
      </c>
    </row>
    <row r="34" spans="1:14" x14ac:dyDescent="0.35">
      <c r="A34" s="2">
        <v>4809422</v>
      </c>
      <c r="B34" s="2">
        <v>19347</v>
      </c>
      <c r="C34" s="2" t="s">
        <v>48</v>
      </c>
      <c r="D34" s="2" t="s">
        <v>15</v>
      </c>
      <c r="E34" s="3">
        <f>VLOOKUP('[1]New Data'!A433,'[1]New Data'!A:H,8,0)</f>
        <v>25</v>
      </c>
      <c r="F34" s="3" t="str">
        <f>VLOOKUP('[1]New Data'!A433,'[1]New Data'!A:J,10,0)</f>
        <v>Female</v>
      </c>
      <c r="G34" s="3" t="str">
        <f>VLOOKUP('[1]New Data'!A433,'[1]New Data'!A:K,11,0)</f>
        <v>High</v>
      </c>
      <c r="H34" s="4">
        <f>VLOOKUP('[1]New Data'!A433,'[1]New Data'!A:M,13,0)</f>
        <v>45069</v>
      </c>
      <c r="I34" s="5">
        <f>VLOOKUP('[1]New Data'!A433,'[1]New Data'!A:O,15,0)</f>
        <v>8</v>
      </c>
      <c r="J34" s="3">
        <f>VLOOKUP('[1]New Data'!A433,'[1]New Data'!A:P,16,0)</f>
        <v>453.02329659999998</v>
      </c>
      <c r="K34" s="3">
        <f>VLOOKUP('[1]New Data'!A433,'[1]New Data'!A:Q,17,0)</f>
        <v>3624.186373</v>
      </c>
      <c r="L34" s="3" t="str">
        <f>VLOOKUP('[1]New Data'!A34,'[1]New Data'!A:S,19,0)</f>
        <v>Home Decor</v>
      </c>
      <c r="M34" s="3" t="str">
        <f>VLOOKUP('[1]New Data'!A34,'[1]New Data'!A:T,20,0)</f>
        <v>Decorations</v>
      </c>
      <c r="N34" s="5">
        <f>VLOOKUP('[1]New Data'!A433,'[1]New Data'!A:Z,25,0)</f>
        <v>2</v>
      </c>
    </row>
    <row r="35" spans="1:14" hidden="1" x14ac:dyDescent="0.35">
      <c r="A35" s="2">
        <v>8380095</v>
      </c>
      <c r="B35" s="2">
        <v>80891</v>
      </c>
      <c r="C35" s="2" t="s">
        <v>49</v>
      </c>
      <c r="D35" s="2" t="s">
        <v>15</v>
      </c>
      <c r="E35" s="3">
        <f>VLOOKUP('[1]New Data'!A420,'[1]New Data'!A:H,8,0)</f>
        <v>61</v>
      </c>
      <c r="F35" s="3" t="str">
        <f>VLOOKUP('[1]New Data'!A420,'[1]New Data'!A:J,10,0)</f>
        <v>Male</v>
      </c>
      <c r="G35" s="3" t="str">
        <f>VLOOKUP('[1]New Data'!A420,'[1]New Data'!A:K,11,0)</f>
        <v>Medium</v>
      </c>
      <c r="H35" s="4">
        <f>VLOOKUP('[1]New Data'!A420,'[1]New Data'!A:M,13,0)</f>
        <v>45337</v>
      </c>
      <c r="I35" s="5">
        <f>VLOOKUP('[1]New Data'!A420,'[1]New Data'!A:O,15,0)</f>
        <v>10</v>
      </c>
      <c r="J35" s="3">
        <f>VLOOKUP('[1]New Data'!A420,'[1]New Data'!A:P,16,0)</f>
        <v>361.26883579999998</v>
      </c>
      <c r="K35" s="3">
        <f>VLOOKUP('[1]New Data'!A420,'[1]New Data'!A:Q,17,0)</f>
        <v>3612.6883579999999</v>
      </c>
      <c r="L35" s="3" t="str">
        <f>VLOOKUP('[1]New Data'!A35,'[1]New Data'!A:S,19,0)</f>
        <v>Electronics</v>
      </c>
      <c r="M35" s="3" t="str">
        <f>VLOOKUP('[1]New Data'!A35,'[1]New Data'!A:T,20,0)</f>
        <v>Smartphone</v>
      </c>
      <c r="N35" s="5">
        <f>VLOOKUP('[1]New Data'!A420,'[1]New Data'!A:Z,25,0)</f>
        <v>1</v>
      </c>
    </row>
    <row r="36" spans="1:14" hidden="1" x14ac:dyDescent="0.35">
      <c r="A36" s="2">
        <v>9844506</v>
      </c>
      <c r="B36" s="2">
        <v>56970</v>
      </c>
      <c r="C36" s="2" t="s">
        <v>50</v>
      </c>
      <c r="D36" s="2" t="s">
        <v>15</v>
      </c>
      <c r="E36" s="3">
        <f>VLOOKUP('[1]New Data'!A418,'[1]New Data'!A:H,8,0)</f>
        <v>51</v>
      </c>
      <c r="F36" s="3" t="str">
        <f>VLOOKUP('[1]New Data'!A418,'[1]New Data'!A:J,10,0)</f>
        <v>Male</v>
      </c>
      <c r="G36" s="3" t="str">
        <f>VLOOKUP('[1]New Data'!A418,'[1]New Data'!A:K,11,0)</f>
        <v>Low</v>
      </c>
      <c r="H36" s="4">
        <f>VLOOKUP('[1]New Data'!A418,'[1]New Data'!A:M,13,0)</f>
        <v>45020</v>
      </c>
      <c r="I36" s="5">
        <f>VLOOKUP('[1]New Data'!A418,'[1]New Data'!A:O,15,0)</f>
        <v>10</v>
      </c>
      <c r="J36" s="3">
        <f>VLOOKUP('[1]New Data'!A418,'[1]New Data'!A:P,16,0)</f>
        <v>352.83185420000001</v>
      </c>
      <c r="K36" s="3">
        <f>VLOOKUP('[1]New Data'!A418,'[1]New Data'!A:Q,17,0)</f>
        <v>3528.318542</v>
      </c>
      <c r="L36" s="3" t="str">
        <f>VLOOKUP('[1]New Data'!A36,'[1]New Data'!A:S,19,0)</f>
        <v>Grocery</v>
      </c>
      <c r="M36" s="3" t="str">
        <f>VLOOKUP('[1]New Data'!A36,'[1]New Data'!A:T,20,0)</f>
        <v>Chocolate</v>
      </c>
      <c r="N36" s="5">
        <f>VLOOKUP('[1]New Data'!A418,'[1]New Data'!A:Z,25,0)</f>
        <v>3</v>
      </c>
    </row>
    <row r="37" spans="1:14" x14ac:dyDescent="0.35">
      <c r="A37" s="2">
        <v>9634627</v>
      </c>
      <c r="B37" s="2">
        <v>90837</v>
      </c>
      <c r="C37" s="2" t="s">
        <v>51</v>
      </c>
      <c r="D37" s="2" t="s">
        <v>15</v>
      </c>
      <c r="E37" s="3">
        <f>VLOOKUP('[1]New Data'!A73,'[1]New Data'!A:H,8,0)</f>
        <v>70</v>
      </c>
      <c r="F37" s="3" t="str">
        <f>VLOOKUP('[1]New Data'!A73,'[1]New Data'!A:J,10,0)</f>
        <v>Male</v>
      </c>
      <c r="G37" s="3" t="str">
        <f>VLOOKUP('[1]New Data'!A73,'[1]New Data'!A:K,11,0)</f>
        <v>Low</v>
      </c>
      <c r="H37" s="4">
        <f>VLOOKUP('[1]New Data'!A73,'[1]New Data'!A:M,13,0)</f>
        <v>45328</v>
      </c>
      <c r="I37" s="5">
        <f>VLOOKUP('[1]New Data'!A73,'[1]New Data'!A:O,15,0)</f>
        <v>8</v>
      </c>
      <c r="J37" s="3">
        <f>VLOOKUP('[1]New Data'!A73,'[1]New Data'!A:P,16,0)</f>
        <v>436.74937499999999</v>
      </c>
      <c r="K37" s="3">
        <f>VLOOKUP('[1]New Data'!A73,'[1]New Data'!A:Q,17,0)</f>
        <v>3493.9949999999999</v>
      </c>
      <c r="L37" s="3" t="str">
        <f>VLOOKUP('[1]New Data'!A37,'[1]New Data'!A:S,19,0)</f>
        <v>Home Decor</v>
      </c>
      <c r="M37" s="3" t="str">
        <f>VLOOKUP('[1]New Data'!A37,'[1]New Data'!A:T,20,0)</f>
        <v>Decorations</v>
      </c>
      <c r="N37" s="5">
        <f>VLOOKUP('[1]New Data'!A73,'[1]New Data'!A:Z,25,0)</f>
        <v>2</v>
      </c>
    </row>
    <row r="38" spans="1:14" hidden="1" x14ac:dyDescent="0.35">
      <c r="A38" s="2">
        <v>9338306</v>
      </c>
      <c r="B38" s="2">
        <v>48869</v>
      </c>
      <c r="C38" s="2" t="s">
        <v>52</v>
      </c>
      <c r="D38" s="2" t="s">
        <v>15</v>
      </c>
      <c r="E38" s="3">
        <f>VLOOKUP('[1]New Data'!A25,'[1]New Data'!A:H,8,0)</f>
        <v>41</v>
      </c>
      <c r="F38" s="3" t="str">
        <f>VLOOKUP('[1]New Data'!A25,'[1]New Data'!A:J,10,0)</f>
        <v>Female</v>
      </c>
      <c r="G38" s="3" t="str">
        <f>VLOOKUP('[1]New Data'!A25,'[1]New Data'!A:K,11,0)</f>
        <v>Low</v>
      </c>
      <c r="H38" s="4">
        <f>VLOOKUP('[1]New Data'!A25,'[1]New Data'!A:M,13,0)</f>
        <v>45077</v>
      </c>
      <c r="I38" s="5">
        <f>VLOOKUP('[1]New Data'!A25,'[1]New Data'!A:O,15,0)</f>
        <v>8</v>
      </c>
      <c r="J38" s="3">
        <f>VLOOKUP('[1]New Data'!A25,'[1]New Data'!A:P,16,0)</f>
        <v>436.60790909999997</v>
      </c>
      <c r="K38" s="3">
        <f>VLOOKUP('[1]New Data'!A25,'[1]New Data'!A:Q,17,0)</f>
        <v>3492.8632729999999</v>
      </c>
      <c r="L38" s="3" t="str">
        <f>VLOOKUP('[1]New Data'!A38,'[1]New Data'!A:S,19,0)</f>
        <v>Clothing</v>
      </c>
      <c r="M38" s="3" t="str">
        <f>VLOOKUP('[1]New Data'!A38,'[1]New Data'!A:T,20,0)</f>
        <v>Shirt</v>
      </c>
      <c r="N38" s="5">
        <f>VLOOKUP('[1]New Data'!A25,'[1]New Data'!A:Z,25,0)</f>
        <v>3</v>
      </c>
    </row>
    <row r="39" spans="1:14" hidden="1" x14ac:dyDescent="0.35">
      <c r="A39" s="2">
        <v>4615607</v>
      </c>
      <c r="B39" s="2">
        <v>22945</v>
      </c>
      <c r="C39" s="2" t="s">
        <v>53</v>
      </c>
      <c r="D39" s="2" t="s">
        <v>15</v>
      </c>
      <c r="E39" s="3">
        <f>VLOOKUP('[1]New Data'!A92,'[1]New Data'!A:H,8,0)</f>
        <v>26</v>
      </c>
      <c r="F39" s="3" t="str">
        <f>VLOOKUP('[1]New Data'!A92,'[1]New Data'!A:J,10,0)</f>
        <v>Female</v>
      </c>
      <c r="G39" s="3" t="str">
        <f>VLOOKUP('[1]New Data'!A92,'[1]New Data'!A:K,11,0)</f>
        <v>Medium</v>
      </c>
      <c r="H39" s="4">
        <f>VLOOKUP('[1]New Data'!A92,'[1]New Data'!A:M,13,0)</f>
        <v>45317</v>
      </c>
      <c r="I39" s="5">
        <f>VLOOKUP('[1]New Data'!A92,'[1]New Data'!A:O,15,0)</f>
        <v>9</v>
      </c>
      <c r="J39" s="3">
        <f>VLOOKUP('[1]New Data'!A92,'[1]New Data'!A:P,16,0)</f>
        <v>386.98430380000002</v>
      </c>
      <c r="K39" s="3">
        <f>VLOOKUP('[1]New Data'!A92,'[1]New Data'!A:Q,17,0)</f>
        <v>3482.8587339999999</v>
      </c>
      <c r="L39" s="3" t="str">
        <f>VLOOKUP('[1]New Data'!A39,'[1]New Data'!A:S,19,0)</f>
        <v>Books</v>
      </c>
      <c r="M39" s="3" t="str">
        <f>VLOOKUP('[1]New Data'!A39,'[1]New Data'!A:T,20,0)</f>
        <v>Children's</v>
      </c>
      <c r="N39" s="5">
        <f>VLOOKUP('[1]New Data'!A92,'[1]New Data'!A:Z,25,0)</f>
        <v>1</v>
      </c>
    </row>
    <row r="40" spans="1:14" hidden="1" x14ac:dyDescent="0.35">
      <c r="A40" s="2">
        <v>9517916</v>
      </c>
      <c r="B40" s="2">
        <v>44149</v>
      </c>
      <c r="C40" s="2" t="s">
        <v>54</v>
      </c>
      <c r="D40" s="2" t="s">
        <v>15</v>
      </c>
      <c r="E40" s="3">
        <f>VLOOKUP('[1]New Data'!A495,'[1]New Data'!A:H,8,0)</f>
        <v>29</v>
      </c>
      <c r="F40" s="3" t="str">
        <f>VLOOKUP('[1]New Data'!A495,'[1]New Data'!A:J,10,0)</f>
        <v>Male</v>
      </c>
      <c r="G40" s="3" t="str">
        <f>VLOOKUP('[1]New Data'!A495,'[1]New Data'!A:K,11,0)</f>
        <v>High</v>
      </c>
      <c r="H40" s="4">
        <f>VLOOKUP('[1]New Data'!A495,'[1]New Data'!A:M,13,0)</f>
        <v>45111</v>
      </c>
      <c r="I40" s="5">
        <f>VLOOKUP('[1]New Data'!A495,'[1]New Data'!A:O,15,0)</f>
        <v>8</v>
      </c>
      <c r="J40" s="3">
        <f>VLOOKUP('[1]New Data'!A495,'[1]New Data'!A:P,16,0)</f>
        <v>434.4834194</v>
      </c>
      <c r="K40" s="3">
        <f>VLOOKUP('[1]New Data'!A495,'[1]New Data'!A:Q,17,0)</f>
        <v>3475.8673549999999</v>
      </c>
      <c r="L40" s="3" t="str">
        <f>VLOOKUP('[1]New Data'!A40,'[1]New Data'!A:S,19,0)</f>
        <v>Grocery</v>
      </c>
      <c r="M40" s="3" t="str">
        <f>VLOOKUP('[1]New Data'!A40,'[1]New Data'!A:T,20,0)</f>
        <v>Soft Drink</v>
      </c>
      <c r="N40" s="5">
        <f>VLOOKUP('[1]New Data'!A495,'[1]New Data'!A:Z,25,0)</f>
        <v>2</v>
      </c>
    </row>
    <row r="41" spans="1:14" hidden="1" x14ac:dyDescent="0.35">
      <c r="A41" s="2">
        <v>8039295</v>
      </c>
      <c r="B41" s="2">
        <v>77202</v>
      </c>
      <c r="C41" s="2" t="s">
        <v>55</v>
      </c>
      <c r="D41" s="2" t="s">
        <v>15</v>
      </c>
      <c r="E41" s="3">
        <f>VLOOKUP('[1]New Data'!A199,'[1]New Data'!A:H,8,0)</f>
        <v>56</v>
      </c>
      <c r="F41" s="3" t="str">
        <f>VLOOKUP('[1]New Data'!A199,'[1]New Data'!A:J,10,0)</f>
        <v>Male</v>
      </c>
      <c r="G41" s="3" t="str">
        <f>VLOOKUP('[1]New Data'!A199,'[1]New Data'!A:K,11,0)</f>
        <v>Medium</v>
      </c>
      <c r="H41" s="4">
        <f>VLOOKUP('[1]New Data'!A199,'[1]New Data'!A:M,13,0)</f>
        <v>45213</v>
      </c>
      <c r="I41" s="5">
        <f>VLOOKUP('[1]New Data'!A199,'[1]New Data'!A:O,15,0)</f>
        <v>7</v>
      </c>
      <c r="J41" s="3">
        <f>VLOOKUP('[1]New Data'!A199,'[1]New Data'!A:P,16,0)</f>
        <v>488.37157819999999</v>
      </c>
      <c r="K41" s="3">
        <f>VLOOKUP('[1]New Data'!A199,'[1]New Data'!A:Q,17,0)</f>
        <v>3418.6010470000001</v>
      </c>
      <c r="L41" s="3" t="str">
        <f>VLOOKUP('[1]New Data'!A41,'[1]New Data'!A:S,19,0)</f>
        <v>Clothing</v>
      </c>
      <c r="M41" s="3" t="str">
        <f>VLOOKUP('[1]New Data'!A41,'[1]New Data'!A:T,20,0)</f>
        <v>Shoes</v>
      </c>
      <c r="N41" s="5">
        <f>VLOOKUP('[1]New Data'!A199,'[1]New Data'!A:Z,25,0)</f>
        <v>1</v>
      </c>
    </row>
    <row r="42" spans="1:14" hidden="1" x14ac:dyDescent="0.35">
      <c r="A42" s="2">
        <v>6179281</v>
      </c>
      <c r="B42" s="2">
        <v>96361</v>
      </c>
      <c r="C42" s="2" t="s">
        <v>56</v>
      </c>
      <c r="D42" s="2" t="s">
        <v>15</v>
      </c>
      <c r="E42" s="3">
        <f>VLOOKUP('[1]New Data'!A277,'[1]New Data'!A:H,8,0)</f>
        <v>44</v>
      </c>
      <c r="F42" s="3" t="str">
        <f>VLOOKUP('[1]New Data'!A277,'[1]New Data'!A:J,10,0)</f>
        <v>Male</v>
      </c>
      <c r="G42" s="3" t="str">
        <f>VLOOKUP('[1]New Data'!A277,'[1]New Data'!A:K,11,0)</f>
        <v>High</v>
      </c>
      <c r="H42" s="4">
        <f>VLOOKUP('[1]New Data'!A277,'[1]New Data'!A:M,13,0)</f>
        <v>44996</v>
      </c>
      <c r="I42" s="5">
        <f>VLOOKUP('[1]New Data'!A277,'[1]New Data'!A:O,15,0)</f>
        <v>10</v>
      </c>
      <c r="J42" s="3">
        <f>VLOOKUP('[1]New Data'!A277,'[1]New Data'!A:P,16,0)</f>
        <v>338.04505130000001</v>
      </c>
      <c r="K42" s="3">
        <f>VLOOKUP('[1]New Data'!A277,'[1]New Data'!A:Q,17,0)</f>
        <v>3380.4505129999998</v>
      </c>
      <c r="L42" s="3" t="str">
        <f>VLOOKUP('[1]New Data'!A42,'[1]New Data'!A:S,19,0)</f>
        <v>Grocery</v>
      </c>
      <c r="M42" s="3" t="str">
        <f>VLOOKUP('[1]New Data'!A42,'[1]New Data'!A:T,20,0)</f>
        <v>Juice</v>
      </c>
      <c r="N42" s="5">
        <f>VLOOKUP('[1]New Data'!A277,'[1]New Data'!A:Z,25,0)</f>
        <v>3</v>
      </c>
    </row>
    <row r="43" spans="1:14" hidden="1" x14ac:dyDescent="0.35">
      <c r="A43" s="2">
        <v>1166989</v>
      </c>
      <c r="B43" s="2">
        <v>60009</v>
      </c>
      <c r="C43" s="2" t="s">
        <v>57</v>
      </c>
      <c r="D43" s="2" t="s">
        <v>15</v>
      </c>
      <c r="E43" s="3">
        <f>VLOOKUP('[1]New Data'!A335,'[1]New Data'!A:H,8,0)</f>
        <v>31</v>
      </c>
      <c r="F43" s="3" t="str">
        <f>VLOOKUP('[1]New Data'!A335,'[1]New Data'!A:J,10,0)</f>
        <v>Male</v>
      </c>
      <c r="G43" s="3" t="str">
        <f>VLOOKUP('[1]New Data'!A335,'[1]New Data'!A:K,11,0)</f>
        <v>Low</v>
      </c>
      <c r="H43" s="4">
        <f>VLOOKUP('[1]New Data'!A335,'[1]New Data'!A:M,13,0)</f>
        <v>45246</v>
      </c>
      <c r="I43" s="5">
        <f>VLOOKUP('[1]New Data'!A335,'[1]New Data'!A:O,15,0)</f>
        <v>10</v>
      </c>
      <c r="J43" s="3">
        <f>VLOOKUP('[1]New Data'!A335,'[1]New Data'!A:P,16,0)</f>
        <v>337.95890889999998</v>
      </c>
      <c r="K43" s="3">
        <f>VLOOKUP('[1]New Data'!A335,'[1]New Data'!A:Q,17,0)</f>
        <v>3379.5890890000001</v>
      </c>
      <c r="L43" s="3" t="str">
        <f>VLOOKUP('[1]New Data'!A43,'[1]New Data'!A:S,19,0)</f>
        <v>Books</v>
      </c>
      <c r="M43" s="3" t="str">
        <f>VLOOKUP('[1]New Data'!A43,'[1]New Data'!A:T,20,0)</f>
        <v>Literature</v>
      </c>
      <c r="N43" s="5">
        <f>VLOOKUP('[1]New Data'!A335,'[1]New Data'!A:Z,25,0)</f>
        <v>4</v>
      </c>
    </row>
    <row r="44" spans="1:14" hidden="1" x14ac:dyDescent="0.35">
      <c r="A44" s="2">
        <v>6438013</v>
      </c>
      <c r="B44" s="2">
        <v>33012</v>
      </c>
      <c r="C44" s="2" t="s">
        <v>58</v>
      </c>
      <c r="D44" s="2" t="s">
        <v>15</v>
      </c>
      <c r="E44" s="3">
        <f>VLOOKUP('[1]New Data'!A183,'[1]New Data'!A:H,8,0)</f>
        <v>21</v>
      </c>
      <c r="F44" s="3" t="str">
        <f>VLOOKUP('[1]New Data'!A183,'[1]New Data'!A:J,10,0)</f>
        <v>Male</v>
      </c>
      <c r="G44" s="3" t="str">
        <f>VLOOKUP('[1]New Data'!A183,'[1]New Data'!A:K,11,0)</f>
        <v>Low</v>
      </c>
      <c r="H44" s="4">
        <f>VLOOKUP('[1]New Data'!A183,'[1]New Data'!A:M,13,0)</f>
        <v>45089</v>
      </c>
      <c r="I44" s="5">
        <f>VLOOKUP('[1]New Data'!A183,'[1]New Data'!A:O,15,0)</f>
        <v>10</v>
      </c>
      <c r="J44" s="3">
        <f>VLOOKUP('[1]New Data'!A183,'[1]New Data'!A:P,16,0)</f>
        <v>336.64404910000002</v>
      </c>
      <c r="K44" s="3">
        <f>VLOOKUP('[1]New Data'!A183,'[1]New Data'!A:Q,17,0)</f>
        <v>3366.4404909999998</v>
      </c>
      <c r="L44" s="3" t="str">
        <f>VLOOKUP('[1]New Data'!A44,'[1]New Data'!A:S,19,0)</f>
        <v>Electronics</v>
      </c>
      <c r="M44" s="3" t="str">
        <f>VLOOKUP('[1]New Data'!A44,'[1]New Data'!A:T,20,0)</f>
        <v>Laptop</v>
      </c>
      <c r="N44" s="5">
        <f>VLOOKUP('[1]New Data'!A183,'[1]New Data'!A:Z,25,0)</f>
        <v>4</v>
      </c>
    </row>
    <row r="45" spans="1:14" x14ac:dyDescent="0.35">
      <c r="A45" s="2">
        <v>6393080</v>
      </c>
      <c r="B45" s="2">
        <v>28554</v>
      </c>
      <c r="C45" s="2" t="s">
        <v>59</v>
      </c>
      <c r="D45" s="2" t="s">
        <v>15</v>
      </c>
      <c r="E45" s="3">
        <f>VLOOKUP('[1]New Data'!A224,'[1]New Data'!A:H,8,0)</f>
        <v>43</v>
      </c>
      <c r="F45" s="3" t="str">
        <f>VLOOKUP('[1]New Data'!A224,'[1]New Data'!A:J,10,0)</f>
        <v>Female</v>
      </c>
      <c r="G45" s="3" t="str">
        <f>VLOOKUP('[1]New Data'!A224,'[1]New Data'!A:K,11,0)</f>
        <v>Medium</v>
      </c>
      <c r="H45" s="4">
        <f>VLOOKUP('[1]New Data'!A224,'[1]New Data'!A:M,13,0)</f>
        <v>45153</v>
      </c>
      <c r="I45" s="5">
        <f>VLOOKUP('[1]New Data'!A224,'[1]New Data'!A:O,15,0)</f>
        <v>9</v>
      </c>
      <c r="J45" s="3">
        <f>VLOOKUP('[1]New Data'!A224,'[1]New Data'!A:P,16,0)</f>
        <v>360.6581908</v>
      </c>
      <c r="K45" s="3">
        <f>VLOOKUP('[1]New Data'!A224,'[1]New Data'!A:Q,17,0)</f>
        <v>3245.9237170000001</v>
      </c>
      <c r="L45" s="3" t="str">
        <f>VLOOKUP('[1]New Data'!A45,'[1]New Data'!A:S,19,0)</f>
        <v>Home Decor</v>
      </c>
      <c r="M45" s="3" t="str">
        <f>VLOOKUP('[1]New Data'!A45,'[1]New Data'!A:T,20,0)</f>
        <v>Furniture</v>
      </c>
      <c r="N45" s="5">
        <f>VLOOKUP('[1]New Data'!A224,'[1]New Data'!A:Z,25,0)</f>
        <v>1</v>
      </c>
    </row>
    <row r="46" spans="1:14" hidden="1" x14ac:dyDescent="0.35">
      <c r="A46" s="2">
        <v>7177238</v>
      </c>
      <c r="B46" s="2">
        <v>95547</v>
      </c>
      <c r="C46" s="2" t="s">
        <v>60</v>
      </c>
      <c r="D46" s="2" t="s">
        <v>15</v>
      </c>
      <c r="E46" s="3">
        <f>VLOOKUP('[1]New Data'!A113,'[1]New Data'!A:H,8,0)</f>
        <v>30</v>
      </c>
      <c r="F46" s="3" t="str">
        <f>VLOOKUP('[1]New Data'!A113,'[1]New Data'!A:J,10,0)</f>
        <v>Male</v>
      </c>
      <c r="G46" s="3" t="str">
        <f>VLOOKUP('[1]New Data'!A113,'[1]New Data'!A:K,11,0)</f>
        <v>High</v>
      </c>
      <c r="H46" s="4">
        <f>VLOOKUP('[1]New Data'!A113,'[1]New Data'!A:M,13,0)</f>
        <v>45327</v>
      </c>
      <c r="I46" s="5">
        <f>VLOOKUP('[1]New Data'!A113,'[1]New Data'!A:O,15,0)</f>
        <v>7</v>
      </c>
      <c r="J46" s="3">
        <f>VLOOKUP('[1]New Data'!A113,'[1]New Data'!A:P,16,0)</f>
        <v>459.68229330000003</v>
      </c>
      <c r="K46" s="3">
        <f>VLOOKUP('[1]New Data'!A113,'[1]New Data'!A:Q,17,0)</f>
        <v>3217.776053</v>
      </c>
      <c r="L46" s="3" t="str">
        <f>VLOOKUP('[1]New Data'!A46,'[1]New Data'!A:S,19,0)</f>
        <v>Clothing</v>
      </c>
      <c r="M46" s="3" t="str">
        <f>VLOOKUP('[1]New Data'!A46,'[1]New Data'!A:T,20,0)</f>
        <v>Dress</v>
      </c>
      <c r="N46" s="5">
        <f>VLOOKUP('[1]New Data'!A113,'[1]New Data'!A:Z,25,0)</f>
        <v>4</v>
      </c>
    </row>
    <row r="47" spans="1:14" hidden="1" x14ac:dyDescent="0.35">
      <c r="A47" s="2">
        <v>1126150</v>
      </c>
      <c r="B47" s="2">
        <v>36687</v>
      </c>
      <c r="C47" s="2" t="s">
        <v>61</v>
      </c>
      <c r="D47" s="2" t="s">
        <v>15</v>
      </c>
      <c r="E47" s="3">
        <f>VLOOKUP('[1]New Data'!A273,'[1]New Data'!A:H,8,0)</f>
        <v>58</v>
      </c>
      <c r="F47" s="3" t="str">
        <f>VLOOKUP('[1]New Data'!A273,'[1]New Data'!A:J,10,0)</f>
        <v>Male</v>
      </c>
      <c r="G47" s="3" t="str">
        <f>VLOOKUP('[1]New Data'!A273,'[1]New Data'!A:K,11,0)</f>
        <v>Low</v>
      </c>
      <c r="H47" s="4">
        <f>VLOOKUP('[1]New Data'!A273,'[1]New Data'!A:M,13,0)</f>
        <v>45080</v>
      </c>
      <c r="I47" s="5">
        <f>VLOOKUP('[1]New Data'!A273,'[1]New Data'!A:O,15,0)</f>
        <v>7</v>
      </c>
      <c r="J47" s="3">
        <f>VLOOKUP('[1]New Data'!A273,'[1]New Data'!A:P,16,0)</f>
        <v>456.81903349999999</v>
      </c>
      <c r="K47" s="3">
        <f>VLOOKUP('[1]New Data'!A273,'[1]New Data'!A:Q,17,0)</f>
        <v>3197.7332350000001</v>
      </c>
      <c r="L47" s="3" t="str">
        <f>VLOOKUP('[1]New Data'!A47,'[1]New Data'!A:S,19,0)</f>
        <v>Electronics</v>
      </c>
      <c r="M47" s="3" t="str">
        <f>VLOOKUP('[1]New Data'!A47,'[1]New Data'!A:T,20,0)</f>
        <v>Headphones</v>
      </c>
      <c r="N47" s="5">
        <f>VLOOKUP('[1]New Data'!A273,'[1]New Data'!A:Z,25,0)</f>
        <v>1</v>
      </c>
    </row>
    <row r="48" spans="1:14" x14ac:dyDescent="0.35">
      <c r="A48" s="2">
        <v>3217461</v>
      </c>
      <c r="B48" s="2">
        <v>74671</v>
      </c>
      <c r="C48" s="2" t="s">
        <v>62</v>
      </c>
      <c r="D48" s="2" t="s">
        <v>15</v>
      </c>
      <c r="E48" s="3">
        <f>VLOOKUP('[1]New Data'!A15,'[1]New Data'!A:H,8,0)</f>
        <v>53</v>
      </c>
      <c r="F48" s="3" t="str">
        <f>VLOOKUP('[1]New Data'!A15,'[1]New Data'!A:J,10,0)</f>
        <v>Female</v>
      </c>
      <c r="G48" s="3" t="str">
        <f>VLOOKUP('[1]New Data'!A15,'[1]New Data'!A:K,11,0)</f>
        <v>Medium</v>
      </c>
      <c r="H48" s="4">
        <f>VLOOKUP('[1]New Data'!A15,'[1]New Data'!A:M,13,0)</f>
        <v>45053</v>
      </c>
      <c r="I48" s="5">
        <f>VLOOKUP('[1]New Data'!A15,'[1]New Data'!A:O,15,0)</f>
        <v>9</v>
      </c>
      <c r="J48" s="3">
        <f>VLOOKUP('[1]New Data'!A15,'[1]New Data'!A:P,16,0)</f>
        <v>350.81701579999998</v>
      </c>
      <c r="K48" s="3">
        <f>VLOOKUP('[1]New Data'!A15,'[1]New Data'!A:Q,17,0)</f>
        <v>3157.3531419999999</v>
      </c>
      <c r="L48" s="3" t="str">
        <f>VLOOKUP('[1]New Data'!A48,'[1]New Data'!A:S,19,0)</f>
        <v>Home Decor</v>
      </c>
      <c r="M48" s="3" t="str">
        <f>VLOOKUP('[1]New Data'!A48,'[1]New Data'!A:T,20,0)</f>
        <v>Lighting</v>
      </c>
      <c r="N48" s="5">
        <f>VLOOKUP('[1]New Data'!A15,'[1]New Data'!A:Z,25,0)</f>
        <v>4</v>
      </c>
    </row>
    <row r="49" spans="1:14" x14ac:dyDescent="0.35">
      <c r="A49" s="2">
        <v>5161746</v>
      </c>
      <c r="B49" s="2">
        <v>95925</v>
      </c>
      <c r="C49" s="2" t="s">
        <v>63</v>
      </c>
      <c r="D49" s="2" t="s">
        <v>15</v>
      </c>
      <c r="E49" s="3">
        <f>VLOOKUP('[1]New Data'!A68,'[1]New Data'!A:H,8,0)</f>
        <v>58</v>
      </c>
      <c r="F49" s="3" t="str">
        <f>VLOOKUP('[1]New Data'!A68,'[1]New Data'!A:J,10,0)</f>
        <v>Male</v>
      </c>
      <c r="G49" s="3" t="str">
        <f>VLOOKUP('[1]New Data'!A68,'[1]New Data'!A:K,11,0)</f>
        <v>Medium</v>
      </c>
      <c r="H49" s="4">
        <f>VLOOKUP('[1]New Data'!A68,'[1]New Data'!A:M,13,0)</f>
        <v>44997</v>
      </c>
      <c r="I49" s="5">
        <f>VLOOKUP('[1]New Data'!A68,'[1]New Data'!A:O,15,0)</f>
        <v>10</v>
      </c>
      <c r="J49" s="3">
        <f>VLOOKUP('[1]New Data'!A68,'[1]New Data'!A:P,16,0)</f>
        <v>313.48811430000001</v>
      </c>
      <c r="K49" s="3">
        <f>VLOOKUP('[1]New Data'!A68,'[1]New Data'!A:Q,17,0)</f>
        <v>3134.8811430000001</v>
      </c>
      <c r="L49" s="3" t="str">
        <f>VLOOKUP('[1]New Data'!A49,'[1]New Data'!A:S,19,0)</f>
        <v>Home Decor</v>
      </c>
      <c r="M49" s="3" t="str">
        <f>VLOOKUP('[1]New Data'!A49,'[1]New Data'!A:T,20,0)</f>
        <v>Decorations</v>
      </c>
      <c r="N49" s="5">
        <f>VLOOKUP('[1]New Data'!A68,'[1]New Data'!A:Z,25,0)</f>
        <v>2</v>
      </c>
    </row>
    <row r="50" spans="1:14" x14ac:dyDescent="0.35">
      <c r="A50" s="2">
        <v>3815037</v>
      </c>
      <c r="B50" s="2">
        <v>58363</v>
      </c>
      <c r="C50" s="2" t="s">
        <v>64</v>
      </c>
      <c r="D50" s="2" t="s">
        <v>15</v>
      </c>
      <c r="E50" s="3">
        <f>VLOOKUP('[1]New Data'!A216,'[1]New Data'!A:H,8,0)</f>
        <v>35</v>
      </c>
      <c r="F50" s="3" t="str">
        <f>VLOOKUP('[1]New Data'!A216,'[1]New Data'!A:J,10,0)</f>
        <v>Male</v>
      </c>
      <c r="G50" s="3" t="str">
        <f>VLOOKUP('[1]New Data'!A216,'[1]New Data'!A:K,11,0)</f>
        <v>Medium</v>
      </c>
      <c r="H50" s="4">
        <f>VLOOKUP('[1]New Data'!A216,'[1]New Data'!A:M,13,0)</f>
        <v>45072</v>
      </c>
      <c r="I50" s="5">
        <f>VLOOKUP('[1]New Data'!A216,'[1]New Data'!A:O,15,0)</f>
        <v>8</v>
      </c>
      <c r="J50" s="3">
        <f>VLOOKUP('[1]New Data'!A216,'[1]New Data'!A:P,16,0)</f>
        <v>390.7484786</v>
      </c>
      <c r="K50" s="3">
        <f>VLOOKUP('[1]New Data'!A216,'[1]New Data'!A:Q,17,0)</f>
        <v>3125.9878290000001</v>
      </c>
      <c r="L50" s="3" t="str">
        <f>VLOOKUP('[1]New Data'!A50,'[1]New Data'!A:S,19,0)</f>
        <v>Home Decor</v>
      </c>
      <c r="M50" s="3" t="str">
        <f>VLOOKUP('[1]New Data'!A50,'[1]New Data'!A:T,20,0)</f>
        <v>Bedding</v>
      </c>
      <c r="N50" s="5">
        <f>VLOOKUP('[1]New Data'!A216,'[1]New Data'!A:Z,25,0)</f>
        <v>5</v>
      </c>
    </row>
    <row r="51" spans="1:14" hidden="1" x14ac:dyDescent="0.35">
      <c r="A51" s="2">
        <v>1175370</v>
      </c>
      <c r="B51" s="2">
        <v>77311</v>
      </c>
      <c r="C51" s="2" t="s">
        <v>65</v>
      </c>
      <c r="D51" s="2" t="s">
        <v>15</v>
      </c>
      <c r="E51" s="3">
        <f>VLOOKUP('[1]New Data'!A373,'[1]New Data'!A:H,8,0)</f>
        <v>44</v>
      </c>
      <c r="F51" s="3" t="str">
        <f>VLOOKUP('[1]New Data'!A373,'[1]New Data'!A:J,10,0)</f>
        <v>Female</v>
      </c>
      <c r="G51" s="3" t="str">
        <f>VLOOKUP('[1]New Data'!A373,'[1]New Data'!A:K,11,0)</f>
        <v>Medium</v>
      </c>
      <c r="H51" s="4">
        <f>VLOOKUP('[1]New Data'!A373,'[1]New Data'!A:M,13,0)</f>
        <v>45317</v>
      </c>
      <c r="I51" s="5">
        <f>VLOOKUP('[1]New Data'!A373,'[1]New Data'!A:O,15,0)</f>
        <v>7</v>
      </c>
      <c r="J51" s="3">
        <f>VLOOKUP('[1]New Data'!A373,'[1]New Data'!A:P,16,0)</f>
        <v>441.30493209999997</v>
      </c>
      <c r="K51" s="3">
        <f>VLOOKUP('[1]New Data'!A373,'[1]New Data'!A:Q,17,0)</f>
        <v>3089.1345249999999</v>
      </c>
      <c r="L51" s="3" t="str">
        <f>VLOOKUP('[1]New Data'!A51,'[1]New Data'!A:S,19,0)</f>
        <v>Clothing</v>
      </c>
      <c r="M51" s="3" t="str">
        <f>VLOOKUP('[1]New Data'!A51,'[1]New Data'!A:T,20,0)</f>
        <v>Jacket</v>
      </c>
      <c r="N51" s="5">
        <f>VLOOKUP('[1]New Data'!A373,'[1]New Data'!A:Z,25,0)</f>
        <v>5</v>
      </c>
    </row>
    <row r="52" spans="1:14" x14ac:dyDescent="0.35">
      <c r="A52" s="2">
        <v>9570629</v>
      </c>
      <c r="B52" s="2">
        <v>57144</v>
      </c>
      <c r="C52" s="2" t="s">
        <v>66</v>
      </c>
      <c r="D52" s="2" t="s">
        <v>15</v>
      </c>
      <c r="E52" s="3">
        <f>VLOOKUP('[1]New Data'!A237,'[1]New Data'!A:H,8,0)</f>
        <v>70</v>
      </c>
      <c r="F52" s="3" t="str">
        <f>VLOOKUP('[1]New Data'!A237,'[1]New Data'!A:J,10,0)</f>
        <v>Male</v>
      </c>
      <c r="G52" s="3" t="str">
        <f>VLOOKUP('[1]New Data'!A237,'[1]New Data'!A:K,11,0)</f>
        <v>High</v>
      </c>
      <c r="H52" s="4">
        <f>VLOOKUP('[1]New Data'!A237,'[1]New Data'!A:M,13,0)</f>
        <v>45275</v>
      </c>
      <c r="I52" s="5">
        <f>VLOOKUP('[1]New Data'!A237,'[1]New Data'!A:O,15,0)</f>
        <v>10</v>
      </c>
      <c r="J52" s="3">
        <f>VLOOKUP('[1]New Data'!A237,'[1]New Data'!A:P,16,0)</f>
        <v>304.6860183</v>
      </c>
      <c r="K52" s="3">
        <f>VLOOKUP('[1]New Data'!A237,'[1]New Data'!A:Q,17,0)</f>
        <v>3046.8601829999998</v>
      </c>
      <c r="L52" s="3" t="str">
        <f>VLOOKUP('[1]New Data'!A52,'[1]New Data'!A:S,19,0)</f>
        <v>Home Decor</v>
      </c>
      <c r="M52" s="3" t="str">
        <f>VLOOKUP('[1]New Data'!A52,'[1]New Data'!A:T,20,0)</f>
        <v>Furniture</v>
      </c>
      <c r="N52" s="5">
        <f>VLOOKUP('[1]New Data'!A237,'[1]New Data'!A:Z,25,0)</f>
        <v>4</v>
      </c>
    </row>
    <row r="53" spans="1:14" hidden="1" x14ac:dyDescent="0.35">
      <c r="A53" s="2">
        <v>5292389</v>
      </c>
      <c r="B53" s="2">
        <v>44721</v>
      </c>
      <c r="C53" s="2" t="s">
        <v>67</v>
      </c>
      <c r="D53" s="2" t="s">
        <v>15</v>
      </c>
      <c r="E53" s="3">
        <f>VLOOKUP('[1]New Data'!A314,'[1]New Data'!A:H,8,0)</f>
        <v>36</v>
      </c>
      <c r="F53" s="3" t="str">
        <f>VLOOKUP('[1]New Data'!A314,'[1]New Data'!A:J,10,0)</f>
        <v>Male</v>
      </c>
      <c r="G53" s="3" t="str">
        <f>VLOOKUP('[1]New Data'!A314,'[1]New Data'!A:K,11,0)</f>
        <v>Medium</v>
      </c>
      <c r="H53" s="4">
        <f>VLOOKUP('[1]New Data'!A314,'[1]New Data'!A:M,13,0)</f>
        <v>45098</v>
      </c>
      <c r="I53" s="5">
        <f>VLOOKUP('[1]New Data'!A314,'[1]New Data'!A:O,15,0)</f>
        <v>8</v>
      </c>
      <c r="J53" s="3">
        <f>VLOOKUP('[1]New Data'!A314,'[1]New Data'!A:P,16,0)</f>
        <v>378.0900805</v>
      </c>
      <c r="K53" s="3">
        <f>VLOOKUP('[1]New Data'!A314,'[1]New Data'!A:Q,17,0)</f>
        <v>3024.720644</v>
      </c>
      <c r="L53" s="3" t="str">
        <f>VLOOKUP('[1]New Data'!A53,'[1]New Data'!A:S,19,0)</f>
        <v>Grocery</v>
      </c>
      <c r="M53" s="3" t="str">
        <f>VLOOKUP('[1]New Data'!A53,'[1]New Data'!A:T,20,0)</f>
        <v>Chocolate</v>
      </c>
      <c r="N53" s="5">
        <f>VLOOKUP('[1]New Data'!A314,'[1]New Data'!A:Z,25,0)</f>
        <v>5</v>
      </c>
    </row>
    <row r="54" spans="1:14" hidden="1" x14ac:dyDescent="0.35">
      <c r="A54" s="2">
        <v>5773486</v>
      </c>
      <c r="B54" s="2">
        <v>57550</v>
      </c>
      <c r="C54" s="2" t="s">
        <v>68</v>
      </c>
      <c r="D54" s="2" t="s">
        <v>15</v>
      </c>
      <c r="E54" s="3">
        <f>VLOOKUP('[1]New Data'!A232,'[1]New Data'!A:H,8,0)</f>
        <v>32</v>
      </c>
      <c r="F54" s="3" t="str">
        <f>VLOOKUP('[1]New Data'!A232,'[1]New Data'!A:J,10,0)</f>
        <v>Male</v>
      </c>
      <c r="G54" s="3" t="str">
        <f>VLOOKUP('[1]New Data'!A232,'[1]New Data'!A:K,11,0)</f>
        <v>Low</v>
      </c>
      <c r="H54" s="4">
        <f>VLOOKUP('[1]New Data'!A232,'[1]New Data'!A:M,13,0)</f>
        <v>45290</v>
      </c>
      <c r="I54" s="5">
        <f>VLOOKUP('[1]New Data'!A232,'[1]New Data'!A:O,15,0)</f>
        <v>9</v>
      </c>
      <c r="J54" s="3">
        <f>VLOOKUP('[1]New Data'!A232,'[1]New Data'!A:P,16,0)</f>
        <v>334.6147315</v>
      </c>
      <c r="K54" s="3">
        <f>VLOOKUP('[1]New Data'!A232,'[1]New Data'!A:Q,17,0)</f>
        <v>3011.5325830000002</v>
      </c>
      <c r="L54" s="3" t="str">
        <f>VLOOKUP('[1]New Data'!A54,'[1]New Data'!A:S,19,0)</f>
        <v>Electronics</v>
      </c>
      <c r="M54" s="3" t="str">
        <f>VLOOKUP('[1]New Data'!A54,'[1]New Data'!A:T,20,0)</f>
        <v>Television</v>
      </c>
      <c r="N54" s="5">
        <f>VLOOKUP('[1]New Data'!A232,'[1]New Data'!A:Z,25,0)</f>
        <v>4</v>
      </c>
    </row>
    <row r="55" spans="1:14" hidden="1" x14ac:dyDescent="0.35">
      <c r="A55" s="2">
        <v>7361679</v>
      </c>
      <c r="B55" s="2">
        <v>47748</v>
      </c>
      <c r="C55" s="2" t="s">
        <v>69</v>
      </c>
      <c r="D55" s="2" t="s">
        <v>15</v>
      </c>
      <c r="E55" s="3">
        <f>VLOOKUP('[1]New Data'!A125,'[1]New Data'!A:H,8,0)</f>
        <v>39</v>
      </c>
      <c r="F55" s="3" t="str">
        <f>VLOOKUP('[1]New Data'!A125,'[1]New Data'!A:J,10,0)</f>
        <v>Male</v>
      </c>
      <c r="G55" s="3" t="str">
        <f>VLOOKUP('[1]New Data'!A125,'[1]New Data'!A:K,11,0)</f>
        <v>Medium</v>
      </c>
      <c r="H55" s="4">
        <f>VLOOKUP('[1]New Data'!A125,'[1]New Data'!A:M,13,0)</f>
        <v>44990</v>
      </c>
      <c r="I55" s="5">
        <f>VLOOKUP('[1]New Data'!A125,'[1]New Data'!A:O,15,0)</f>
        <v>10</v>
      </c>
      <c r="J55" s="3">
        <f>VLOOKUP('[1]New Data'!A125,'[1]New Data'!A:P,16,0)</f>
        <v>300.26844160000002</v>
      </c>
      <c r="K55" s="3">
        <f>VLOOKUP('[1]New Data'!A125,'[1]New Data'!A:Q,17,0)</f>
        <v>3002.6844160000001</v>
      </c>
      <c r="L55" s="3" t="str">
        <f>VLOOKUP('[1]New Data'!A55,'[1]New Data'!A:S,19,0)</f>
        <v>Electronics</v>
      </c>
      <c r="M55" s="3" t="str">
        <f>VLOOKUP('[1]New Data'!A55,'[1]New Data'!A:T,20,0)</f>
        <v>Headphones</v>
      </c>
      <c r="N55" s="5">
        <f>VLOOKUP('[1]New Data'!A125,'[1]New Data'!A:Z,25,0)</f>
        <v>0</v>
      </c>
    </row>
    <row r="56" spans="1:14" hidden="1" x14ac:dyDescent="0.35">
      <c r="A56" s="2">
        <v>5419578</v>
      </c>
      <c r="B56" s="2">
        <v>88294</v>
      </c>
      <c r="C56" s="2" t="s">
        <v>70</v>
      </c>
      <c r="D56" s="2" t="s">
        <v>15</v>
      </c>
      <c r="E56" s="3">
        <f>VLOOKUP('[1]New Data'!A124,'[1]New Data'!A:H,8,0)</f>
        <v>64</v>
      </c>
      <c r="F56" s="3" t="str">
        <f>VLOOKUP('[1]New Data'!A124,'[1]New Data'!A:J,10,0)</f>
        <v>Male</v>
      </c>
      <c r="G56" s="3" t="str">
        <f>VLOOKUP('[1]New Data'!A124,'[1]New Data'!A:K,11,0)</f>
        <v>Medium</v>
      </c>
      <c r="H56" s="4">
        <f>VLOOKUP('[1]New Data'!A124,'[1]New Data'!A:M,13,0)</f>
        <v>45092</v>
      </c>
      <c r="I56" s="5">
        <f>VLOOKUP('[1]New Data'!A124,'[1]New Data'!A:O,15,0)</f>
        <v>7</v>
      </c>
      <c r="J56" s="3">
        <f>VLOOKUP('[1]New Data'!A124,'[1]New Data'!A:P,16,0)</f>
        <v>423.61308450000001</v>
      </c>
      <c r="K56" s="3">
        <f>VLOOKUP('[1]New Data'!A124,'[1]New Data'!A:Q,17,0)</f>
        <v>2965.2915910000002</v>
      </c>
      <c r="L56" s="3" t="str">
        <f>VLOOKUP('[1]New Data'!A56,'[1]New Data'!A:S,19,0)</f>
        <v>Clothing</v>
      </c>
      <c r="M56" s="3" t="str">
        <f>VLOOKUP('[1]New Data'!A56,'[1]New Data'!A:T,20,0)</f>
        <v>Shoes</v>
      </c>
      <c r="N56" s="5">
        <f>VLOOKUP('[1]New Data'!A124,'[1]New Data'!A:Z,25,0)</f>
        <v>1</v>
      </c>
    </row>
    <row r="57" spans="1:14" hidden="1" x14ac:dyDescent="0.35">
      <c r="A57" s="2">
        <v>4946535</v>
      </c>
      <c r="B57" s="2">
        <v>73735</v>
      </c>
      <c r="C57" s="2" t="s">
        <v>71</v>
      </c>
      <c r="D57" s="2" t="s">
        <v>15</v>
      </c>
      <c r="E57" s="3">
        <f>VLOOKUP('[1]New Data'!A138,'[1]New Data'!A:H,8,0)</f>
        <v>58</v>
      </c>
      <c r="F57" s="3" t="str">
        <f>VLOOKUP('[1]New Data'!A138,'[1]New Data'!A:J,10,0)</f>
        <v>Male</v>
      </c>
      <c r="G57" s="3" t="str">
        <f>VLOOKUP('[1]New Data'!A138,'[1]New Data'!A:K,11,0)</f>
        <v>Medium</v>
      </c>
      <c r="H57" s="4">
        <f>VLOOKUP('[1]New Data'!A138,'[1]New Data'!A:M,13,0)</f>
        <v>45186</v>
      </c>
      <c r="I57" s="5">
        <f>VLOOKUP('[1]New Data'!A138,'[1]New Data'!A:O,15,0)</f>
        <v>6</v>
      </c>
      <c r="J57" s="3">
        <f>VLOOKUP('[1]New Data'!A138,'[1]New Data'!A:P,16,0)</f>
        <v>493.30151499999999</v>
      </c>
      <c r="K57" s="3">
        <f>VLOOKUP('[1]New Data'!A138,'[1]New Data'!A:Q,17,0)</f>
        <v>2959.8090900000002</v>
      </c>
      <c r="L57" s="3" t="str">
        <f>VLOOKUP('[1]New Data'!A57,'[1]New Data'!A:S,19,0)</f>
        <v>Electronics</v>
      </c>
      <c r="M57" s="3" t="str">
        <f>VLOOKUP('[1]New Data'!A57,'[1]New Data'!A:T,20,0)</f>
        <v>Headphones</v>
      </c>
      <c r="N57" s="5">
        <f>VLOOKUP('[1]New Data'!A138,'[1]New Data'!A:Z,25,0)</f>
        <v>4</v>
      </c>
    </row>
    <row r="58" spans="1:14" x14ac:dyDescent="0.35">
      <c r="A58" s="2">
        <v>4153822</v>
      </c>
      <c r="B58" s="2">
        <v>58115</v>
      </c>
      <c r="C58" s="2" t="s">
        <v>72</v>
      </c>
      <c r="D58" s="2" t="s">
        <v>15</v>
      </c>
      <c r="E58" s="3">
        <f>VLOOKUP('[1]New Data'!A215,'[1]New Data'!A:H,8,0)</f>
        <v>68</v>
      </c>
      <c r="F58" s="3" t="str">
        <f>VLOOKUP('[1]New Data'!A215,'[1]New Data'!A:J,10,0)</f>
        <v>Male</v>
      </c>
      <c r="G58" s="3" t="str">
        <f>VLOOKUP('[1]New Data'!A215,'[1]New Data'!A:K,11,0)</f>
        <v>Medium</v>
      </c>
      <c r="H58" s="4">
        <f>VLOOKUP('[1]New Data'!A215,'[1]New Data'!A:M,13,0)</f>
        <v>45189</v>
      </c>
      <c r="I58" s="5">
        <f>VLOOKUP('[1]New Data'!A215,'[1]New Data'!A:O,15,0)</f>
        <v>6</v>
      </c>
      <c r="J58" s="3">
        <f>VLOOKUP('[1]New Data'!A215,'[1]New Data'!A:P,16,0)</f>
        <v>491.72574090000001</v>
      </c>
      <c r="K58" s="3">
        <f>VLOOKUP('[1]New Data'!A215,'[1]New Data'!A:Q,17,0)</f>
        <v>2950.3544459999998</v>
      </c>
      <c r="L58" s="3" t="str">
        <f>VLOOKUP('[1]New Data'!A58,'[1]New Data'!A:S,19,0)</f>
        <v>Home Decor</v>
      </c>
      <c r="M58" s="3" t="str">
        <f>VLOOKUP('[1]New Data'!A58,'[1]New Data'!A:T,20,0)</f>
        <v>Decorations</v>
      </c>
      <c r="N58" s="5">
        <f>VLOOKUP('[1]New Data'!A215,'[1]New Data'!A:Z,25,0)</f>
        <v>3</v>
      </c>
    </row>
    <row r="59" spans="1:14" hidden="1" x14ac:dyDescent="0.35">
      <c r="A59" s="2">
        <v>9213173</v>
      </c>
      <c r="B59" s="2">
        <v>27495</v>
      </c>
      <c r="C59" s="2" t="s">
        <v>73</v>
      </c>
      <c r="D59" s="2" t="s">
        <v>15</v>
      </c>
      <c r="E59" s="3">
        <f>VLOOKUP('[1]New Data'!A219,'[1]New Data'!A:H,8,0)</f>
        <v>59</v>
      </c>
      <c r="F59" s="3" t="str">
        <f>VLOOKUP('[1]New Data'!A219,'[1]New Data'!A:J,10,0)</f>
        <v>Male</v>
      </c>
      <c r="G59" s="3" t="str">
        <f>VLOOKUP('[1]New Data'!A219,'[1]New Data'!A:K,11,0)</f>
        <v>Medium</v>
      </c>
      <c r="H59" s="4">
        <f>VLOOKUP('[1]New Data'!A219,'[1]New Data'!A:M,13,0)</f>
        <v>45150</v>
      </c>
      <c r="I59" s="5">
        <f>VLOOKUP('[1]New Data'!A219,'[1]New Data'!A:O,15,0)</f>
        <v>6</v>
      </c>
      <c r="J59" s="3">
        <f>VLOOKUP('[1]New Data'!A219,'[1]New Data'!A:P,16,0)</f>
        <v>488.99318510000001</v>
      </c>
      <c r="K59" s="3">
        <f>VLOOKUP('[1]New Data'!A219,'[1]New Data'!A:Q,17,0)</f>
        <v>2933.9591110000001</v>
      </c>
      <c r="L59" s="3" t="str">
        <f>VLOOKUP('[1]New Data'!A59,'[1]New Data'!A:S,19,0)</f>
        <v>Grocery</v>
      </c>
      <c r="M59" s="3" t="str">
        <f>VLOOKUP('[1]New Data'!A59,'[1]New Data'!A:T,20,0)</f>
        <v>Soft Drink</v>
      </c>
      <c r="N59" s="5">
        <f>VLOOKUP('[1]New Data'!A219,'[1]New Data'!A:Z,25,0)</f>
        <v>5</v>
      </c>
    </row>
    <row r="60" spans="1:14" hidden="1" x14ac:dyDescent="0.35">
      <c r="A60" s="2">
        <v>1198092</v>
      </c>
      <c r="B60" s="2">
        <v>96720</v>
      </c>
      <c r="C60" s="2" t="s">
        <v>74</v>
      </c>
      <c r="D60" s="2" t="s">
        <v>15</v>
      </c>
      <c r="E60" s="3">
        <f>VLOOKUP('[1]New Data'!A90,'[1]New Data'!A:H,8,0)</f>
        <v>59</v>
      </c>
      <c r="F60" s="3" t="str">
        <f>VLOOKUP('[1]New Data'!A90,'[1]New Data'!A:J,10,0)</f>
        <v>Male</v>
      </c>
      <c r="G60" s="3" t="str">
        <f>VLOOKUP('[1]New Data'!A90,'[1]New Data'!A:K,11,0)</f>
        <v>Medium</v>
      </c>
      <c r="H60" s="4">
        <f>VLOOKUP('[1]New Data'!A90,'[1]New Data'!A:M,13,0)</f>
        <v>45007</v>
      </c>
      <c r="I60" s="5">
        <f>VLOOKUP('[1]New Data'!A90,'[1]New Data'!A:O,15,0)</f>
        <v>9</v>
      </c>
      <c r="J60" s="3">
        <f>VLOOKUP('[1]New Data'!A90,'[1]New Data'!A:P,16,0)</f>
        <v>324.72674719999998</v>
      </c>
      <c r="K60" s="3">
        <f>VLOOKUP('[1]New Data'!A90,'[1]New Data'!A:Q,17,0)</f>
        <v>2922.5407249999998</v>
      </c>
      <c r="L60" s="3" t="str">
        <f>VLOOKUP('[1]New Data'!A60,'[1]New Data'!A:S,19,0)</f>
        <v>Books</v>
      </c>
      <c r="M60" s="3" t="str">
        <f>VLOOKUP('[1]New Data'!A60,'[1]New Data'!A:T,20,0)</f>
        <v>Literature</v>
      </c>
      <c r="N60" s="5">
        <f>VLOOKUP('[1]New Data'!A90,'[1]New Data'!A:Z,25,0)</f>
        <v>3</v>
      </c>
    </row>
    <row r="61" spans="1:14" hidden="1" x14ac:dyDescent="0.35">
      <c r="A61" s="2">
        <v>3381958</v>
      </c>
      <c r="B61" s="2">
        <v>70067</v>
      </c>
      <c r="C61" s="2" t="s">
        <v>75</v>
      </c>
      <c r="D61" s="2" t="s">
        <v>15</v>
      </c>
      <c r="E61" s="3">
        <f>VLOOKUP('[1]New Data'!A83,'[1]New Data'!A:H,8,0)</f>
        <v>56</v>
      </c>
      <c r="F61" s="3" t="str">
        <f>VLOOKUP('[1]New Data'!A83,'[1]New Data'!A:J,10,0)</f>
        <v>Male</v>
      </c>
      <c r="G61" s="3" t="str">
        <f>VLOOKUP('[1]New Data'!A83,'[1]New Data'!A:K,11,0)</f>
        <v>High</v>
      </c>
      <c r="H61" s="4">
        <f>VLOOKUP('[1]New Data'!A83,'[1]New Data'!A:M,13,0)</f>
        <v>45126</v>
      </c>
      <c r="I61" s="5">
        <f>VLOOKUP('[1]New Data'!A83,'[1]New Data'!A:O,15,0)</f>
        <v>8</v>
      </c>
      <c r="J61" s="3">
        <f>VLOOKUP('[1]New Data'!A83,'[1]New Data'!A:P,16,0)</f>
        <v>364.5142093</v>
      </c>
      <c r="K61" s="3">
        <f>VLOOKUP('[1]New Data'!A83,'[1]New Data'!A:Q,17,0)</f>
        <v>2916.1136750000001</v>
      </c>
      <c r="L61" s="3" t="str">
        <f>VLOOKUP('[1]New Data'!A61,'[1]New Data'!A:S,19,0)</f>
        <v>Books</v>
      </c>
      <c r="M61" s="3" t="str">
        <f>VLOOKUP('[1]New Data'!A61,'[1]New Data'!A:T,20,0)</f>
        <v>Non-Fiction</v>
      </c>
      <c r="N61" s="5">
        <f>VLOOKUP('[1]New Data'!A83,'[1]New Data'!A:Z,25,0)</f>
        <v>2</v>
      </c>
    </row>
    <row r="62" spans="1:14" x14ac:dyDescent="0.35">
      <c r="A62" s="2">
        <v>3410438</v>
      </c>
      <c r="B62" s="2">
        <v>14771</v>
      </c>
      <c r="C62" s="2" t="s">
        <v>76</v>
      </c>
      <c r="D62" s="2" t="s">
        <v>15</v>
      </c>
      <c r="E62" s="3">
        <f>VLOOKUP('[1]New Data'!A331,'[1]New Data'!A:H,8,0)</f>
        <v>21</v>
      </c>
      <c r="F62" s="3" t="str">
        <f>VLOOKUP('[1]New Data'!A331,'[1]New Data'!A:J,10,0)</f>
        <v>Male</v>
      </c>
      <c r="G62" s="3" t="str">
        <f>VLOOKUP('[1]New Data'!A331,'[1]New Data'!A:K,11,0)</f>
        <v>Medium</v>
      </c>
      <c r="H62" s="4">
        <f>VLOOKUP('[1]New Data'!A331,'[1]New Data'!A:M,13,0)</f>
        <v>45039</v>
      </c>
      <c r="I62" s="5">
        <f>VLOOKUP('[1]New Data'!A331,'[1]New Data'!A:O,15,0)</f>
        <v>8</v>
      </c>
      <c r="J62" s="3">
        <f>VLOOKUP('[1]New Data'!A331,'[1]New Data'!A:P,16,0)</f>
        <v>362.15563429999997</v>
      </c>
      <c r="K62" s="3">
        <f>VLOOKUP('[1]New Data'!A331,'[1]New Data'!A:Q,17,0)</f>
        <v>2897.2450739999999</v>
      </c>
      <c r="L62" s="3" t="str">
        <f>VLOOKUP('[1]New Data'!A62,'[1]New Data'!A:S,19,0)</f>
        <v>Home Decor</v>
      </c>
      <c r="M62" s="3" t="str">
        <f>VLOOKUP('[1]New Data'!A62,'[1]New Data'!A:T,20,0)</f>
        <v>Kitchen</v>
      </c>
      <c r="N62" s="5">
        <f>VLOOKUP('[1]New Data'!A331,'[1]New Data'!A:Z,25,0)</f>
        <v>1</v>
      </c>
    </row>
    <row r="63" spans="1:14" x14ac:dyDescent="0.35">
      <c r="A63" s="2">
        <v>7476905</v>
      </c>
      <c r="B63" s="2">
        <v>33107</v>
      </c>
      <c r="C63" s="2" t="s">
        <v>77</v>
      </c>
      <c r="D63" s="2" t="s">
        <v>15</v>
      </c>
      <c r="E63" s="3">
        <f>VLOOKUP('[1]New Data'!A361,'[1]New Data'!A:H,8,0)</f>
        <v>57</v>
      </c>
      <c r="F63" s="3" t="str">
        <f>VLOOKUP('[1]New Data'!A361,'[1]New Data'!A:J,10,0)</f>
        <v>Male</v>
      </c>
      <c r="G63" s="3" t="str">
        <f>VLOOKUP('[1]New Data'!A361,'[1]New Data'!A:K,11,0)</f>
        <v>Medium</v>
      </c>
      <c r="H63" s="4">
        <f>VLOOKUP('[1]New Data'!A361,'[1]New Data'!A:M,13,0)</f>
        <v>45286</v>
      </c>
      <c r="I63" s="5">
        <f>VLOOKUP('[1]New Data'!A361,'[1]New Data'!A:O,15,0)</f>
        <v>7</v>
      </c>
      <c r="J63" s="3">
        <f>VLOOKUP('[1]New Data'!A361,'[1]New Data'!A:P,16,0)</f>
        <v>413.60966830000001</v>
      </c>
      <c r="K63" s="3">
        <f>VLOOKUP('[1]New Data'!A361,'[1]New Data'!A:Q,17,0)</f>
        <v>2895.2676780000002</v>
      </c>
      <c r="L63" s="3" t="str">
        <f>VLOOKUP('[1]New Data'!A63,'[1]New Data'!A:S,19,0)</f>
        <v>Home Decor</v>
      </c>
      <c r="M63" s="3" t="str">
        <f>VLOOKUP('[1]New Data'!A63,'[1]New Data'!A:T,20,0)</f>
        <v>Tools</v>
      </c>
      <c r="N63" s="5">
        <f>VLOOKUP('[1]New Data'!A361,'[1]New Data'!A:Z,25,0)</f>
        <v>5</v>
      </c>
    </row>
    <row r="64" spans="1:14" hidden="1" x14ac:dyDescent="0.35">
      <c r="A64" s="2">
        <v>4583042</v>
      </c>
      <c r="B64" s="2">
        <v>14984</v>
      </c>
      <c r="C64" s="2" t="s">
        <v>78</v>
      </c>
      <c r="D64" s="2" t="s">
        <v>15</v>
      </c>
      <c r="E64" s="3">
        <f>VLOOKUP('[1]New Data'!A422,'[1]New Data'!A:H,8,0)</f>
        <v>61</v>
      </c>
      <c r="F64" s="3" t="str">
        <f>VLOOKUP('[1]New Data'!A422,'[1]New Data'!A:J,10,0)</f>
        <v>Female</v>
      </c>
      <c r="G64" s="3" t="str">
        <f>VLOOKUP('[1]New Data'!A422,'[1]New Data'!A:K,11,0)</f>
        <v>High</v>
      </c>
      <c r="H64" s="4">
        <f>VLOOKUP('[1]New Data'!A422,'[1]New Data'!A:M,13,0)</f>
        <v>45136</v>
      </c>
      <c r="I64" s="5">
        <f>VLOOKUP('[1]New Data'!A422,'[1]New Data'!A:O,15,0)</f>
        <v>7</v>
      </c>
      <c r="J64" s="3">
        <f>VLOOKUP('[1]New Data'!A422,'[1]New Data'!A:P,16,0)</f>
        <v>412.51046839999998</v>
      </c>
      <c r="K64" s="3">
        <f>VLOOKUP('[1]New Data'!A422,'[1]New Data'!A:Q,17,0)</f>
        <v>2887.5732790000002</v>
      </c>
      <c r="L64" s="3" t="str">
        <f>VLOOKUP('[1]New Data'!A64,'[1]New Data'!A:S,19,0)</f>
        <v>Clothing</v>
      </c>
      <c r="M64" s="3" t="str">
        <f>VLOOKUP('[1]New Data'!A64,'[1]New Data'!A:T,20,0)</f>
        <v>Shoes</v>
      </c>
      <c r="N64" s="5">
        <f>VLOOKUP('[1]New Data'!A422,'[1]New Data'!A:Z,25,0)</f>
        <v>1</v>
      </c>
    </row>
    <row r="65" spans="1:14" hidden="1" x14ac:dyDescent="0.35">
      <c r="A65" s="2">
        <v>3015432</v>
      </c>
      <c r="B65" s="2">
        <v>12790</v>
      </c>
      <c r="C65" s="2" t="s">
        <v>79</v>
      </c>
      <c r="D65" s="2" t="s">
        <v>15</v>
      </c>
      <c r="E65" s="3">
        <f>VLOOKUP('[1]New Data'!A428,'[1]New Data'!A:H,8,0)</f>
        <v>30</v>
      </c>
      <c r="F65" s="3" t="str">
        <f>VLOOKUP('[1]New Data'!A428,'[1]New Data'!A:J,10,0)</f>
        <v>Female</v>
      </c>
      <c r="G65" s="3" t="str">
        <f>VLOOKUP('[1]New Data'!A428,'[1]New Data'!A:K,11,0)</f>
        <v>Medium</v>
      </c>
      <c r="H65" s="4">
        <f>VLOOKUP('[1]New Data'!A428,'[1]New Data'!A:M,13,0)</f>
        <v>45006</v>
      </c>
      <c r="I65" s="5">
        <f>VLOOKUP('[1]New Data'!A428,'[1]New Data'!A:O,15,0)</f>
        <v>6</v>
      </c>
      <c r="J65" s="3">
        <f>VLOOKUP('[1]New Data'!A428,'[1]New Data'!A:P,16,0)</f>
        <v>478.99855009999999</v>
      </c>
      <c r="K65" s="3">
        <f>VLOOKUP('[1]New Data'!A428,'[1]New Data'!A:Q,17,0)</f>
        <v>2873.9913000000001</v>
      </c>
      <c r="L65" s="3" t="str">
        <f>VLOOKUP('[1]New Data'!A65,'[1]New Data'!A:S,19,0)</f>
        <v>Books</v>
      </c>
      <c r="M65" s="3" t="str">
        <f>VLOOKUP('[1]New Data'!A65,'[1]New Data'!A:T,20,0)</f>
        <v>Literature</v>
      </c>
      <c r="N65" s="5">
        <f>VLOOKUP('[1]New Data'!A428,'[1]New Data'!A:Z,25,0)</f>
        <v>1</v>
      </c>
    </row>
    <row r="66" spans="1:14" x14ac:dyDescent="0.35">
      <c r="A66" s="2">
        <v>2629939</v>
      </c>
      <c r="B66" s="2">
        <v>75243</v>
      </c>
      <c r="C66" s="2" t="s">
        <v>80</v>
      </c>
      <c r="D66" s="2" t="s">
        <v>15</v>
      </c>
      <c r="E66" s="3">
        <f>VLOOKUP('[1]New Data'!A303,'[1]New Data'!A:H,8,0)</f>
        <v>44</v>
      </c>
      <c r="F66" s="3" t="str">
        <f>VLOOKUP('[1]New Data'!A303,'[1]New Data'!A:J,10,0)</f>
        <v>Female</v>
      </c>
      <c r="G66" s="3" t="str">
        <f>VLOOKUP('[1]New Data'!A303,'[1]New Data'!A:K,11,0)</f>
        <v>Low</v>
      </c>
      <c r="H66" s="4">
        <f>VLOOKUP('[1]New Data'!A303,'[1]New Data'!A:M,13,0)</f>
        <v>45311</v>
      </c>
      <c r="I66" s="5">
        <f>VLOOKUP('[1]New Data'!A303,'[1]New Data'!A:O,15,0)</f>
        <v>7</v>
      </c>
      <c r="J66" s="3">
        <f>VLOOKUP('[1]New Data'!A303,'[1]New Data'!A:P,16,0)</f>
        <v>408.91197940000001</v>
      </c>
      <c r="K66" s="3">
        <f>VLOOKUP('[1]New Data'!A303,'[1]New Data'!A:Q,17,0)</f>
        <v>2862.3838559999999</v>
      </c>
      <c r="L66" s="3" t="str">
        <f>VLOOKUP('[1]New Data'!A66,'[1]New Data'!A:S,19,0)</f>
        <v>Home Decor</v>
      </c>
      <c r="M66" s="3" t="str">
        <f>VLOOKUP('[1]New Data'!A66,'[1]New Data'!A:T,20,0)</f>
        <v>Furniture</v>
      </c>
      <c r="N66" s="5">
        <f>VLOOKUP('[1]New Data'!A303,'[1]New Data'!A:Z,25,0)</f>
        <v>5</v>
      </c>
    </row>
    <row r="67" spans="1:14" hidden="1" x14ac:dyDescent="0.35">
      <c r="A67" s="2">
        <v>2075646</v>
      </c>
      <c r="B67" s="2">
        <v>63956</v>
      </c>
      <c r="C67" s="2" t="s">
        <v>81</v>
      </c>
      <c r="D67" s="2" t="s">
        <v>15</v>
      </c>
      <c r="E67" s="3">
        <f>VLOOKUP('[1]New Data'!A406,'[1]New Data'!A:H,8,0)</f>
        <v>38</v>
      </c>
      <c r="F67" s="3" t="str">
        <f>VLOOKUP('[1]New Data'!A406,'[1]New Data'!A:J,10,0)</f>
        <v>Female</v>
      </c>
      <c r="G67" s="3" t="str">
        <f>VLOOKUP('[1]New Data'!A406,'[1]New Data'!A:K,11,0)</f>
        <v>Medium</v>
      </c>
      <c r="H67" s="4">
        <f>VLOOKUP('[1]New Data'!A406,'[1]New Data'!A:M,13,0)</f>
        <v>45064</v>
      </c>
      <c r="I67" s="5">
        <f>VLOOKUP('[1]New Data'!A406,'[1]New Data'!A:O,15,0)</f>
        <v>6</v>
      </c>
      <c r="J67" s="3">
        <f>VLOOKUP('[1]New Data'!A406,'[1]New Data'!A:P,16,0)</f>
        <v>476.76271659999998</v>
      </c>
      <c r="K67" s="3">
        <f>VLOOKUP('[1]New Data'!A406,'[1]New Data'!A:Q,17,0)</f>
        <v>2860.5763000000002</v>
      </c>
      <c r="L67" s="3" t="str">
        <f>VLOOKUP('[1]New Data'!A67,'[1]New Data'!A:S,19,0)</f>
        <v>Books</v>
      </c>
      <c r="M67" s="3" t="str">
        <f>VLOOKUP('[1]New Data'!A67,'[1]New Data'!A:T,20,0)</f>
        <v>Non-Fiction</v>
      </c>
      <c r="N67" s="5">
        <f>VLOOKUP('[1]New Data'!A406,'[1]New Data'!A:Z,25,0)</f>
        <v>1</v>
      </c>
    </row>
    <row r="68" spans="1:14" hidden="1" x14ac:dyDescent="0.35">
      <c r="A68" s="2">
        <v>1217487</v>
      </c>
      <c r="B68" s="2">
        <v>69214</v>
      </c>
      <c r="C68" s="2" t="s">
        <v>82</v>
      </c>
      <c r="D68" s="2" t="s">
        <v>15</v>
      </c>
      <c r="E68" s="3">
        <f>VLOOKUP('[1]New Data'!A302,'[1]New Data'!A:H,8,0)</f>
        <v>31</v>
      </c>
      <c r="F68" s="3" t="str">
        <f>VLOOKUP('[1]New Data'!A302,'[1]New Data'!A:J,10,0)</f>
        <v>Male</v>
      </c>
      <c r="G68" s="3" t="str">
        <f>VLOOKUP('[1]New Data'!A302,'[1]New Data'!A:K,11,0)</f>
        <v>Medium</v>
      </c>
      <c r="H68" s="4">
        <f>VLOOKUP('[1]New Data'!A302,'[1]New Data'!A:M,13,0)</f>
        <v>44993</v>
      </c>
      <c r="I68" s="5">
        <f>VLOOKUP('[1]New Data'!A302,'[1]New Data'!A:O,15,0)</f>
        <v>6</v>
      </c>
      <c r="J68" s="3">
        <f>VLOOKUP('[1]New Data'!A302,'[1]New Data'!A:P,16,0)</f>
        <v>474.79926069999999</v>
      </c>
      <c r="K68" s="3">
        <f>VLOOKUP('[1]New Data'!A302,'[1]New Data'!A:Q,17,0)</f>
        <v>2848.795564</v>
      </c>
      <c r="L68" s="3" t="str">
        <f>VLOOKUP('[1]New Data'!A68,'[1]New Data'!A:S,19,0)</f>
        <v>Electronics</v>
      </c>
      <c r="M68" s="3" t="str">
        <f>VLOOKUP('[1]New Data'!A68,'[1]New Data'!A:T,20,0)</f>
        <v>Headphones</v>
      </c>
      <c r="N68" s="5">
        <f>VLOOKUP('[1]New Data'!A302,'[1]New Data'!A:Z,25,0)</f>
        <v>1</v>
      </c>
    </row>
    <row r="69" spans="1:14" x14ac:dyDescent="0.35">
      <c r="A69" s="2">
        <v>9510333</v>
      </c>
      <c r="B69" s="2">
        <v>71053</v>
      </c>
      <c r="C69" s="2" t="s">
        <v>83</v>
      </c>
      <c r="D69" s="2" t="s">
        <v>15</v>
      </c>
      <c r="E69" s="3">
        <f>VLOOKUP('[1]New Data'!A76,'[1]New Data'!A:H,8,0)</f>
        <v>34</v>
      </c>
      <c r="F69" s="3" t="str">
        <f>VLOOKUP('[1]New Data'!A76,'[1]New Data'!A:J,10,0)</f>
        <v>Female</v>
      </c>
      <c r="G69" s="3" t="str">
        <f>VLOOKUP('[1]New Data'!A76,'[1]New Data'!A:K,11,0)</f>
        <v>Medium</v>
      </c>
      <c r="H69" s="4">
        <f>VLOOKUP('[1]New Data'!A76,'[1]New Data'!A:M,13,0)</f>
        <v>45024</v>
      </c>
      <c r="I69" s="5">
        <f>VLOOKUP('[1]New Data'!A76,'[1]New Data'!A:O,15,0)</f>
        <v>7</v>
      </c>
      <c r="J69" s="3">
        <f>VLOOKUP('[1]New Data'!A76,'[1]New Data'!A:P,16,0)</f>
        <v>405.99011150000001</v>
      </c>
      <c r="K69" s="3">
        <f>VLOOKUP('[1]New Data'!A76,'[1]New Data'!A:Q,17,0)</f>
        <v>2841.930781</v>
      </c>
      <c r="L69" s="3" t="str">
        <f>VLOOKUP('[1]New Data'!A69,'[1]New Data'!A:S,19,0)</f>
        <v>Home Decor</v>
      </c>
      <c r="M69" s="3" t="str">
        <f>VLOOKUP('[1]New Data'!A69,'[1]New Data'!A:T,20,0)</f>
        <v>Decorations</v>
      </c>
      <c r="N69" s="5">
        <f>VLOOKUP('[1]New Data'!A76,'[1]New Data'!A:Z,25,0)</f>
        <v>5</v>
      </c>
    </row>
    <row r="70" spans="1:14" hidden="1" x14ac:dyDescent="0.35">
      <c r="A70" s="2">
        <v>1387434</v>
      </c>
      <c r="B70" s="2">
        <v>38337</v>
      </c>
      <c r="C70" s="2" t="s">
        <v>84</v>
      </c>
      <c r="D70" s="2" t="s">
        <v>15</v>
      </c>
      <c r="E70" s="3">
        <f>VLOOKUP('[1]New Data'!A476,'[1]New Data'!A:H,8,0)</f>
        <v>30</v>
      </c>
      <c r="F70" s="3" t="str">
        <f>VLOOKUP('[1]New Data'!A476,'[1]New Data'!A:J,10,0)</f>
        <v>Female</v>
      </c>
      <c r="G70" s="3" t="str">
        <f>VLOOKUP('[1]New Data'!A476,'[1]New Data'!A:K,11,0)</f>
        <v>Low</v>
      </c>
      <c r="H70" s="4">
        <f>VLOOKUP('[1]New Data'!A476,'[1]New Data'!A:M,13,0)</f>
        <v>45055</v>
      </c>
      <c r="I70" s="5">
        <f>VLOOKUP('[1]New Data'!A476,'[1]New Data'!A:O,15,0)</f>
        <v>6</v>
      </c>
      <c r="J70" s="3">
        <f>VLOOKUP('[1]New Data'!A476,'[1]New Data'!A:P,16,0)</f>
        <v>472.82172379999997</v>
      </c>
      <c r="K70" s="3">
        <f>VLOOKUP('[1]New Data'!A476,'[1]New Data'!A:Q,17,0)</f>
        <v>2836.930343</v>
      </c>
      <c r="L70" s="3" t="str">
        <f>VLOOKUP('[1]New Data'!A70,'[1]New Data'!A:S,19,0)</f>
        <v>Clothing</v>
      </c>
      <c r="M70" s="3" t="str">
        <f>VLOOKUP('[1]New Data'!A70,'[1]New Data'!A:T,20,0)</f>
        <v>Shirt</v>
      </c>
      <c r="N70" s="5">
        <f>VLOOKUP('[1]New Data'!A476,'[1]New Data'!A:Z,25,0)</f>
        <v>1</v>
      </c>
    </row>
    <row r="71" spans="1:14" hidden="1" x14ac:dyDescent="0.35">
      <c r="A71" s="2">
        <v>3830638</v>
      </c>
      <c r="B71" s="2">
        <v>97323</v>
      </c>
      <c r="C71" s="2" t="s">
        <v>85</v>
      </c>
      <c r="D71" s="2" t="s">
        <v>15</v>
      </c>
      <c r="E71" s="3">
        <f>VLOOKUP('[1]New Data'!A392,'[1]New Data'!A:H,8,0)</f>
        <v>37</v>
      </c>
      <c r="F71" s="3" t="str">
        <f>VLOOKUP('[1]New Data'!A392,'[1]New Data'!A:J,10,0)</f>
        <v>Male</v>
      </c>
      <c r="G71" s="3" t="str">
        <f>VLOOKUP('[1]New Data'!A392,'[1]New Data'!A:K,11,0)</f>
        <v>Medium</v>
      </c>
      <c r="H71" s="4">
        <f>VLOOKUP('[1]New Data'!A392,'[1]New Data'!A:M,13,0)</f>
        <v>45055</v>
      </c>
      <c r="I71" s="5">
        <f>VLOOKUP('[1]New Data'!A392,'[1]New Data'!A:O,15,0)</f>
        <v>6</v>
      </c>
      <c r="J71" s="3">
        <f>VLOOKUP('[1]New Data'!A392,'[1]New Data'!A:P,16,0)</f>
        <v>467.76977399999998</v>
      </c>
      <c r="K71" s="3">
        <f>VLOOKUP('[1]New Data'!A392,'[1]New Data'!A:Q,17,0)</f>
        <v>2806.6186440000001</v>
      </c>
      <c r="L71" s="3" t="str">
        <f>VLOOKUP('[1]New Data'!A71,'[1]New Data'!A:S,19,0)</f>
        <v>Books</v>
      </c>
      <c r="M71" s="3" t="str">
        <f>VLOOKUP('[1]New Data'!A71,'[1]New Data'!A:T,20,0)</f>
        <v>Non-Fiction</v>
      </c>
      <c r="N71" s="5">
        <f>VLOOKUP('[1]New Data'!A392,'[1]New Data'!A:Z,25,0)</f>
        <v>4</v>
      </c>
    </row>
    <row r="72" spans="1:14" hidden="1" x14ac:dyDescent="0.35">
      <c r="A72" s="2">
        <v>6113733</v>
      </c>
      <c r="B72" s="2">
        <v>86785</v>
      </c>
      <c r="C72" s="2" t="s">
        <v>86</v>
      </c>
      <c r="D72" s="2" t="s">
        <v>15</v>
      </c>
      <c r="E72" s="3">
        <f>VLOOKUP('[1]New Data'!A100,'[1]New Data'!A:H,8,0)</f>
        <v>33</v>
      </c>
      <c r="F72" s="3" t="str">
        <f>VLOOKUP('[1]New Data'!A100,'[1]New Data'!A:J,10,0)</f>
        <v>Female</v>
      </c>
      <c r="G72" s="3" t="str">
        <f>VLOOKUP('[1]New Data'!A100,'[1]New Data'!A:K,11,0)</f>
        <v>Medium</v>
      </c>
      <c r="H72" s="4">
        <f>VLOOKUP('[1]New Data'!A100,'[1]New Data'!A:M,13,0)</f>
        <v>45062</v>
      </c>
      <c r="I72" s="5">
        <f>VLOOKUP('[1]New Data'!A100,'[1]New Data'!A:O,15,0)</f>
        <v>9</v>
      </c>
      <c r="J72" s="3">
        <f>VLOOKUP('[1]New Data'!A100,'[1]New Data'!A:P,16,0)</f>
        <v>311.44461430000001</v>
      </c>
      <c r="K72" s="3">
        <f>VLOOKUP('[1]New Data'!A100,'[1]New Data'!A:Q,17,0)</f>
        <v>2803.0015279999998</v>
      </c>
      <c r="L72" s="3" t="str">
        <f>VLOOKUP('[1]New Data'!A72,'[1]New Data'!A:S,19,0)</f>
        <v>Grocery</v>
      </c>
      <c r="M72" s="3" t="str">
        <f>VLOOKUP('[1]New Data'!A72,'[1]New Data'!A:T,20,0)</f>
        <v>Soft Drink</v>
      </c>
      <c r="N72" s="5">
        <f>VLOOKUP('[1]New Data'!A100,'[1]New Data'!A:Z,25,0)</f>
        <v>1</v>
      </c>
    </row>
    <row r="73" spans="1:14" hidden="1" x14ac:dyDescent="0.35">
      <c r="A73" s="2">
        <v>1214388</v>
      </c>
      <c r="B73" s="2">
        <v>75644</v>
      </c>
      <c r="C73" s="2" t="s">
        <v>87</v>
      </c>
      <c r="D73" s="2" t="s">
        <v>15</v>
      </c>
      <c r="E73" s="3">
        <f>VLOOKUP('[1]New Data'!A162,'[1]New Data'!A:H,8,0)</f>
        <v>55</v>
      </c>
      <c r="F73" s="3" t="str">
        <f>VLOOKUP('[1]New Data'!A162,'[1]New Data'!A:J,10,0)</f>
        <v>Male</v>
      </c>
      <c r="G73" s="3" t="str">
        <f>VLOOKUP('[1]New Data'!A162,'[1]New Data'!A:K,11,0)</f>
        <v>Medium</v>
      </c>
      <c r="H73" s="4">
        <f>VLOOKUP('[1]New Data'!A162,'[1]New Data'!A:M,13,0)</f>
        <v>45248</v>
      </c>
      <c r="I73" s="5">
        <f>VLOOKUP('[1]New Data'!A162,'[1]New Data'!A:O,15,0)</f>
        <v>7</v>
      </c>
      <c r="J73" s="3">
        <f>VLOOKUP('[1]New Data'!A162,'[1]New Data'!A:P,16,0)</f>
        <v>395.51273049999998</v>
      </c>
      <c r="K73" s="3">
        <f>VLOOKUP('[1]New Data'!A162,'[1]New Data'!A:Q,17,0)</f>
        <v>2768.589113</v>
      </c>
      <c r="L73" s="3" t="str">
        <f>VLOOKUP('[1]New Data'!A73,'[1]New Data'!A:S,19,0)</f>
        <v>Electronics</v>
      </c>
      <c r="M73" s="3" t="str">
        <f>VLOOKUP('[1]New Data'!A73,'[1]New Data'!A:T,20,0)</f>
        <v>Tablet</v>
      </c>
      <c r="N73" s="5">
        <f>VLOOKUP('[1]New Data'!A162,'[1]New Data'!A:Z,25,0)</f>
        <v>5</v>
      </c>
    </row>
    <row r="74" spans="1:14" hidden="1" x14ac:dyDescent="0.35">
      <c r="A74" s="2">
        <v>5532127</v>
      </c>
      <c r="B74" s="2">
        <v>51980</v>
      </c>
      <c r="C74" s="2" t="s">
        <v>88</v>
      </c>
      <c r="D74" s="2" t="s">
        <v>15</v>
      </c>
      <c r="E74" s="3">
        <f>VLOOKUP('[1]New Data'!A65,'[1]New Data'!A:H,8,0)</f>
        <v>34</v>
      </c>
      <c r="F74" s="3" t="str">
        <f>VLOOKUP('[1]New Data'!A65,'[1]New Data'!A:J,10,0)</f>
        <v>Female</v>
      </c>
      <c r="G74" s="3" t="str">
        <f>VLOOKUP('[1]New Data'!A65,'[1]New Data'!A:K,11,0)</f>
        <v>High</v>
      </c>
      <c r="H74" s="4">
        <f>VLOOKUP('[1]New Data'!A65,'[1]New Data'!A:M,13,0)</f>
        <v>45097</v>
      </c>
      <c r="I74" s="5">
        <f>VLOOKUP('[1]New Data'!A65,'[1]New Data'!A:O,15,0)</f>
        <v>9</v>
      </c>
      <c r="J74" s="3">
        <f>VLOOKUP('[1]New Data'!A65,'[1]New Data'!A:P,16,0)</f>
        <v>306.54573210000001</v>
      </c>
      <c r="K74" s="3">
        <f>VLOOKUP('[1]New Data'!A65,'[1]New Data'!A:Q,17,0)</f>
        <v>2758.9115889999998</v>
      </c>
      <c r="L74" s="3" t="str">
        <f>VLOOKUP('[1]New Data'!A74,'[1]New Data'!A:S,19,0)</f>
        <v>Clothing</v>
      </c>
      <c r="M74" s="3" t="str">
        <f>VLOOKUP('[1]New Data'!A74,'[1]New Data'!A:T,20,0)</f>
        <v>Dress</v>
      </c>
      <c r="N74" s="5">
        <f>VLOOKUP('[1]New Data'!A65,'[1]New Data'!A:Z,25,0)</f>
        <v>2</v>
      </c>
    </row>
    <row r="75" spans="1:14" hidden="1" x14ac:dyDescent="0.35">
      <c r="A75" s="2">
        <v>2314603</v>
      </c>
      <c r="B75" s="2">
        <v>34792</v>
      </c>
      <c r="C75" s="2" t="s">
        <v>89</v>
      </c>
      <c r="D75" s="2" t="s">
        <v>15</v>
      </c>
      <c r="E75" s="3">
        <f>VLOOKUP('[1]New Data'!A301,'[1]New Data'!A:H,8,0)</f>
        <v>29</v>
      </c>
      <c r="F75" s="3" t="str">
        <f>VLOOKUP('[1]New Data'!A301,'[1]New Data'!A:J,10,0)</f>
        <v>Male</v>
      </c>
      <c r="G75" s="3" t="str">
        <f>VLOOKUP('[1]New Data'!A301,'[1]New Data'!A:K,11,0)</f>
        <v>High</v>
      </c>
      <c r="H75" s="4">
        <f>VLOOKUP('[1]New Data'!A301,'[1]New Data'!A:M,13,0)</f>
        <v>45274</v>
      </c>
      <c r="I75" s="5">
        <f>VLOOKUP('[1]New Data'!A301,'[1]New Data'!A:O,15,0)</f>
        <v>6</v>
      </c>
      <c r="J75" s="3">
        <f>VLOOKUP('[1]New Data'!A301,'[1]New Data'!A:P,16,0)</f>
        <v>458.19955640000001</v>
      </c>
      <c r="K75" s="3">
        <f>VLOOKUP('[1]New Data'!A301,'[1]New Data'!A:Q,17,0)</f>
        <v>2749.1973379999999</v>
      </c>
      <c r="L75" s="3" t="str">
        <f>VLOOKUP('[1]New Data'!A75,'[1]New Data'!A:S,19,0)</f>
        <v>Electronics</v>
      </c>
      <c r="M75" s="3" t="str">
        <f>VLOOKUP('[1]New Data'!A75,'[1]New Data'!A:T,20,0)</f>
        <v>Laptop</v>
      </c>
      <c r="N75" s="5">
        <f>VLOOKUP('[1]New Data'!A301,'[1]New Data'!A:Z,25,0)</f>
        <v>2</v>
      </c>
    </row>
    <row r="76" spans="1:14" x14ac:dyDescent="0.35">
      <c r="A76" s="2">
        <v>8893144</v>
      </c>
      <c r="B76" s="2">
        <v>68547</v>
      </c>
      <c r="C76" s="2" t="s">
        <v>90</v>
      </c>
      <c r="D76" s="2" t="s">
        <v>15</v>
      </c>
      <c r="E76" s="3">
        <f>VLOOKUP('[1]New Data'!A208,'[1]New Data'!A:H,8,0)</f>
        <v>36</v>
      </c>
      <c r="F76" s="3" t="str">
        <f>VLOOKUP('[1]New Data'!A208,'[1]New Data'!A:J,10,0)</f>
        <v>Male</v>
      </c>
      <c r="G76" s="3" t="str">
        <f>VLOOKUP('[1]New Data'!A208,'[1]New Data'!A:K,11,0)</f>
        <v>Low</v>
      </c>
      <c r="H76" s="4">
        <f>VLOOKUP('[1]New Data'!A208,'[1]New Data'!A:M,13,0)</f>
        <v>45166</v>
      </c>
      <c r="I76" s="5">
        <f>VLOOKUP('[1]New Data'!A208,'[1]New Data'!A:O,15,0)</f>
        <v>7</v>
      </c>
      <c r="J76" s="3">
        <f>VLOOKUP('[1]New Data'!A208,'[1]New Data'!A:P,16,0)</f>
        <v>390.1507446</v>
      </c>
      <c r="K76" s="3">
        <f>VLOOKUP('[1]New Data'!A208,'[1]New Data'!A:Q,17,0)</f>
        <v>2731.0552120000002</v>
      </c>
      <c r="L76" s="3" t="str">
        <f>VLOOKUP('[1]New Data'!A76,'[1]New Data'!A:S,19,0)</f>
        <v>Home Decor</v>
      </c>
      <c r="M76" s="3" t="str">
        <f>VLOOKUP('[1]New Data'!A76,'[1]New Data'!A:T,20,0)</f>
        <v>Kitchen</v>
      </c>
      <c r="N76" s="5">
        <f>VLOOKUP('[1]New Data'!A208,'[1]New Data'!A:Z,25,0)</f>
        <v>3</v>
      </c>
    </row>
    <row r="77" spans="1:14" hidden="1" x14ac:dyDescent="0.35">
      <c r="A77" s="2">
        <v>6650035</v>
      </c>
      <c r="B77" s="2">
        <v>17901</v>
      </c>
      <c r="C77" s="2" t="s">
        <v>91</v>
      </c>
      <c r="D77" s="2" t="s">
        <v>15</v>
      </c>
      <c r="E77" s="3">
        <f>VLOOKUP('[1]New Data'!A371,'[1]New Data'!A:H,8,0)</f>
        <v>60</v>
      </c>
      <c r="F77" s="3" t="str">
        <f>VLOOKUP('[1]New Data'!A371,'[1]New Data'!A:J,10,0)</f>
        <v>Male</v>
      </c>
      <c r="G77" s="3" t="str">
        <f>VLOOKUP('[1]New Data'!A371,'[1]New Data'!A:K,11,0)</f>
        <v>Low</v>
      </c>
      <c r="H77" s="4">
        <f>VLOOKUP('[1]New Data'!A371,'[1]New Data'!A:M,13,0)</f>
        <v>45191</v>
      </c>
      <c r="I77" s="5">
        <f>VLOOKUP('[1]New Data'!A371,'[1]New Data'!A:O,15,0)</f>
        <v>7</v>
      </c>
      <c r="J77" s="3">
        <f>VLOOKUP('[1]New Data'!A371,'[1]New Data'!A:P,16,0)</f>
        <v>388.1323319</v>
      </c>
      <c r="K77" s="3">
        <f>VLOOKUP('[1]New Data'!A371,'[1]New Data'!A:Q,17,0)</f>
        <v>2716.9263230000001</v>
      </c>
      <c r="L77" s="3" t="str">
        <f>VLOOKUP('[1]New Data'!A77,'[1]New Data'!A:S,19,0)</f>
        <v>Grocery</v>
      </c>
      <c r="M77" s="3" t="str">
        <f>VLOOKUP('[1]New Data'!A77,'[1]New Data'!A:T,20,0)</f>
        <v>Juice</v>
      </c>
      <c r="N77" s="5">
        <f>VLOOKUP('[1]New Data'!A371,'[1]New Data'!A:Z,25,0)</f>
        <v>2</v>
      </c>
    </row>
    <row r="78" spans="1:14" hidden="1" x14ac:dyDescent="0.35">
      <c r="A78" s="2">
        <v>4668300</v>
      </c>
      <c r="B78" s="2">
        <v>18113</v>
      </c>
      <c r="C78" s="2" t="s">
        <v>92</v>
      </c>
      <c r="D78" s="2" t="s">
        <v>15</v>
      </c>
      <c r="E78" s="3">
        <f>VLOOKUP('[1]New Data'!A342,'[1]New Data'!A:H,8,0)</f>
        <v>22</v>
      </c>
      <c r="F78" s="3" t="str">
        <f>VLOOKUP('[1]New Data'!A342,'[1]New Data'!A:J,10,0)</f>
        <v>Male</v>
      </c>
      <c r="G78" s="3" t="str">
        <f>VLOOKUP('[1]New Data'!A342,'[1]New Data'!A:K,11,0)</f>
        <v>Medium</v>
      </c>
      <c r="H78" s="4">
        <f>VLOOKUP('[1]New Data'!A342,'[1]New Data'!A:M,13,0)</f>
        <v>45330</v>
      </c>
      <c r="I78" s="5">
        <f>VLOOKUP('[1]New Data'!A342,'[1]New Data'!A:O,15,0)</f>
        <v>6</v>
      </c>
      <c r="J78" s="3">
        <f>VLOOKUP('[1]New Data'!A342,'[1]New Data'!A:P,16,0)</f>
        <v>445.47662159999999</v>
      </c>
      <c r="K78" s="3">
        <f>VLOOKUP('[1]New Data'!A342,'[1]New Data'!A:Q,17,0)</f>
        <v>2672.8597289999998</v>
      </c>
      <c r="L78" s="3" t="str">
        <f>VLOOKUP('[1]New Data'!A78,'[1]New Data'!A:S,19,0)</f>
        <v>Books</v>
      </c>
      <c r="M78" s="3" t="str">
        <f>VLOOKUP('[1]New Data'!A78,'[1]New Data'!A:T,20,0)</f>
        <v>Thriller</v>
      </c>
      <c r="N78" s="5">
        <f>VLOOKUP('[1]New Data'!A342,'[1]New Data'!A:Z,25,0)</f>
        <v>3</v>
      </c>
    </row>
    <row r="79" spans="1:14" x14ac:dyDescent="0.35">
      <c r="A79" s="2">
        <v>2459574</v>
      </c>
      <c r="B79" s="2">
        <v>42540</v>
      </c>
      <c r="C79" s="2" t="s">
        <v>93</v>
      </c>
      <c r="D79" s="2" t="s">
        <v>15</v>
      </c>
      <c r="E79" s="3">
        <f>VLOOKUP('[1]New Data'!A30,'[1]New Data'!A:H,8,0)</f>
        <v>43</v>
      </c>
      <c r="F79" s="3" t="str">
        <f>VLOOKUP('[1]New Data'!A30,'[1]New Data'!A:J,10,0)</f>
        <v>Male</v>
      </c>
      <c r="G79" s="3" t="str">
        <f>VLOOKUP('[1]New Data'!A30,'[1]New Data'!A:K,11,0)</f>
        <v>Medium</v>
      </c>
      <c r="H79" s="4">
        <f>VLOOKUP('[1]New Data'!A30,'[1]New Data'!A:M,13,0)</f>
        <v>45038</v>
      </c>
      <c r="I79" s="5">
        <f>VLOOKUP('[1]New Data'!A30,'[1]New Data'!A:O,15,0)</f>
        <v>8</v>
      </c>
      <c r="J79" s="3">
        <f>VLOOKUP('[1]New Data'!A30,'[1]New Data'!A:P,16,0)</f>
        <v>333.85966389999999</v>
      </c>
      <c r="K79" s="3">
        <f>VLOOKUP('[1]New Data'!A30,'[1]New Data'!A:Q,17,0)</f>
        <v>2670.8773110000002</v>
      </c>
      <c r="L79" s="3" t="str">
        <f>VLOOKUP('[1]New Data'!A79,'[1]New Data'!A:S,19,0)</f>
        <v>Home Decor</v>
      </c>
      <c r="M79" s="3" t="str">
        <f>VLOOKUP('[1]New Data'!A79,'[1]New Data'!A:T,20,0)</f>
        <v>Bedding</v>
      </c>
      <c r="N79" s="5">
        <f>VLOOKUP('[1]New Data'!A30,'[1]New Data'!A:Z,25,0)</f>
        <v>5</v>
      </c>
    </row>
    <row r="80" spans="1:14" x14ac:dyDescent="0.35">
      <c r="A80" s="2">
        <v>8930244</v>
      </c>
      <c r="B80" s="2">
        <v>95441</v>
      </c>
      <c r="C80" s="2" t="s">
        <v>94</v>
      </c>
      <c r="D80" s="2" t="s">
        <v>15</v>
      </c>
      <c r="E80" s="3">
        <f>VLOOKUP('[1]New Data'!A499,'[1]New Data'!A:H,8,0)</f>
        <v>50</v>
      </c>
      <c r="F80" s="3" t="str">
        <f>VLOOKUP('[1]New Data'!A499,'[1]New Data'!A:J,10,0)</f>
        <v>Female</v>
      </c>
      <c r="G80" s="3" t="str">
        <f>VLOOKUP('[1]New Data'!A499,'[1]New Data'!A:K,11,0)</f>
        <v>High</v>
      </c>
      <c r="H80" s="4">
        <f>VLOOKUP('[1]New Data'!A499,'[1]New Data'!A:M,13,0)</f>
        <v>45077</v>
      </c>
      <c r="I80" s="5">
        <f>VLOOKUP('[1]New Data'!A499,'[1]New Data'!A:O,15,0)</f>
        <v>10</v>
      </c>
      <c r="J80" s="3">
        <f>VLOOKUP('[1]New Data'!A499,'[1]New Data'!A:P,16,0)</f>
        <v>265.1970086</v>
      </c>
      <c r="K80" s="3">
        <f>VLOOKUP('[1]New Data'!A499,'[1]New Data'!A:Q,17,0)</f>
        <v>2651.9700859999998</v>
      </c>
      <c r="L80" s="3" t="str">
        <f>VLOOKUP('[1]New Data'!A80,'[1]New Data'!A:S,19,0)</f>
        <v>Home Decor</v>
      </c>
      <c r="M80" s="3" t="str">
        <f>VLOOKUP('[1]New Data'!A80,'[1]New Data'!A:T,20,0)</f>
        <v>Bathroom</v>
      </c>
      <c r="N80" s="5">
        <f>VLOOKUP('[1]New Data'!A499,'[1]New Data'!A:Z,25,0)</f>
        <v>4</v>
      </c>
    </row>
    <row r="81" spans="1:14" hidden="1" x14ac:dyDescent="0.35">
      <c r="A81" s="2">
        <v>4155845</v>
      </c>
      <c r="B81" s="2">
        <v>80175</v>
      </c>
      <c r="C81" s="2" t="s">
        <v>95</v>
      </c>
      <c r="D81" s="2" t="s">
        <v>96</v>
      </c>
      <c r="E81" s="3">
        <f>VLOOKUP('[1]New Data'!A10,'[1]New Data'!A:H,8,0)</f>
        <v>46</v>
      </c>
      <c r="F81" s="3" t="str">
        <f>VLOOKUP('[1]New Data'!A10,'[1]New Data'!A:J,10,0)</f>
        <v>Male</v>
      </c>
      <c r="G81" s="3" t="str">
        <f>VLOOKUP('[1]New Data'!A10,'[1]New Data'!A:K,11,0)</f>
        <v>Medium</v>
      </c>
      <c r="H81" s="4">
        <f>VLOOKUP('[1]New Data'!A10,'[1]New Data'!A:M,13,0)</f>
        <v>45297</v>
      </c>
      <c r="I81" s="5">
        <f>VLOOKUP('[1]New Data'!A10,'[1]New Data'!A:O,15,0)</f>
        <v>8</v>
      </c>
      <c r="J81" s="3">
        <f>VLOOKUP('[1]New Data'!A10,'[1]New Data'!A:P,16,0)</f>
        <v>328.83930170000002</v>
      </c>
      <c r="K81" s="3">
        <f>VLOOKUP('[1]New Data'!A10,'[1]New Data'!A:Q,17,0)</f>
        <v>2630.7144130000001</v>
      </c>
      <c r="L81" s="3" t="str">
        <f>VLOOKUP('[1]New Data'!A81,'[1]New Data'!A:S,19,0)</f>
        <v>Electronics</v>
      </c>
      <c r="M81" s="3" t="str">
        <f>VLOOKUP('[1]New Data'!A81,'[1]New Data'!A:T,20,0)</f>
        <v>Smartphone</v>
      </c>
      <c r="N81" s="5">
        <f>VLOOKUP('[1]New Data'!A10,'[1]New Data'!A:Z,25,0)</f>
        <v>1</v>
      </c>
    </row>
    <row r="82" spans="1:14" hidden="1" x14ac:dyDescent="0.35">
      <c r="A82" s="2">
        <v>3121715</v>
      </c>
      <c r="B82" s="2">
        <v>64722</v>
      </c>
      <c r="C82" s="2" t="s">
        <v>97</v>
      </c>
      <c r="D82" s="2" t="s">
        <v>15</v>
      </c>
      <c r="E82" s="3">
        <f>VLOOKUP('[1]New Data'!A60,'[1]New Data'!A:H,8,0)</f>
        <v>68</v>
      </c>
      <c r="F82" s="3" t="str">
        <f>VLOOKUP('[1]New Data'!A60,'[1]New Data'!A:J,10,0)</f>
        <v>Male</v>
      </c>
      <c r="G82" s="3" t="str">
        <f>VLOOKUP('[1]New Data'!A60,'[1]New Data'!A:K,11,0)</f>
        <v>Medium</v>
      </c>
      <c r="H82" s="4">
        <f>VLOOKUP('[1]New Data'!A60,'[1]New Data'!A:M,13,0)</f>
        <v>45344</v>
      </c>
      <c r="I82" s="5">
        <f>VLOOKUP('[1]New Data'!A60,'[1]New Data'!A:O,15,0)</f>
        <v>9</v>
      </c>
      <c r="J82" s="3">
        <f>VLOOKUP('[1]New Data'!A60,'[1]New Data'!A:P,16,0)</f>
        <v>291.88127320000001</v>
      </c>
      <c r="K82" s="3">
        <f>VLOOKUP('[1]New Data'!A60,'[1]New Data'!A:Q,17,0)</f>
        <v>2626.9314589999999</v>
      </c>
      <c r="L82" s="3" t="str">
        <f>VLOOKUP('[1]New Data'!A82,'[1]New Data'!A:S,19,0)</f>
        <v>Electronics</v>
      </c>
      <c r="M82" s="3" t="str">
        <f>VLOOKUP('[1]New Data'!A82,'[1]New Data'!A:T,20,0)</f>
        <v>Television</v>
      </c>
      <c r="N82" s="5">
        <f>VLOOKUP('[1]New Data'!A60,'[1]New Data'!A:Z,25,0)</f>
        <v>2</v>
      </c>
    </row>
    <row r="83" spans="1:14" hidden="1" x14ac:dyDescent="0.35">
      <c r="A83" s="2">
        <v>9420169</v>
      </c>
      <c r="B83" s="2">
        <v>89029</v>
      </c>
      <c r="C83" s="2" t="s">
        <v>98</v>
      </c>
      <c r="D83" s="2" t="s">
        <v>15</v>
      </c>
      <c r="E83" s="3">
        <f>VLOOKUP('[1]New Data'!A381,'[1]New Data'!A:H,8,0)</f>
        <v>53</v>
      </c>
      <c r="F83" s="3" t="str">
        <f>VLOOKUP('[1]New Data'!A381,'[1]New Data'!A:J,10,0)</f>
        <v>Male</v>
      </c>
      <c r="G83" s="3" t="str">
        <f>VLOOKUP('[1]New Data'!A381,'[1]New Data'!A:K,11,0)</f>
        <v>Low</v>
      </c>
      <c r="H83" s="4">
        <f>VLOOKUP('[1]New Data'!A381,'[1]New Data'!A:M,13,0)</f>
        <v>45074</v>
      </c>
      <c r="I83" s="5">
        <f>VLOOKUP('[1]New Data'!A381,'[1]New Data'!A:O,15,0)</f>
        <v>7</v>
      </c>
      <c r="J83" s="3">
        <f>VLOOKUP('[1]New Data'!A381,'[1]New Data'!A:P,16,0)</f>
        <v>369.04741089999999</v>
      </c>
      <c r="K83" s="3">
        <f>VLOOKUP('[1]New Data'!A381,'[1]New Data'!A:Q,17,0)</f>
        <v>2583.3318760000002</v>
      </c>
      <c r="L83" s="3" t="str">
        <f>VLOOKUP('[1]New Data'!A83,'[1]New Data'!A:S,19,0)</f>
        <v>Electronics</v>
      </c>
      <c r="M83" s="3" t="str">
        <f>VLOOKUP('[1]New Data'!A83,'[1]New Data'!A:T,20,0)</f>
        <v>Headphones</v>
      </c>
      <c r="N83" s="5">
        <f>VLOOKUP('[1]New Data'!A381,'[1]New Data'!A:Z,25,0)</f>
        <v>2</v>
      </c>
    </row>
    <row r="84" spans="1:14" hidden="1" x14ac:dyDescent="0.35">
      <c r="A84" s="2">
        <v>4365027</v>
      </c>
      <c r="B84" s="2">
        <v>97143</v>
      </c>
      <c r="C84" s="2" t="s">
        <v>99</v>
      </c>
      <c r="D84" s="2" t="s">
        <v>15</v>
      </c>
      <c r="E84" s="3">
        <f>VLOOKUP('[1]New Data'!A490,'[1]New Data'!A:H,8,0)</f>
        <v>23</v>
      </c>
      <c r="F84" s="3" t="str">
        <f>VLOOKUP('[1]New Data'!A490,'[1]New Data'!A:J,10,0)</f>
        <v>Male</v>
      </c>
      <c r="G84" s="3" t="str">
        <f>VLOOKUP('[1]New Data'!A490,'[1]New Data'!A:K,11,0)</f>
        <v>High</v>
      </c>
      <c r="H84" s="4">
        <f>VLOOKUP('[1]New Data'!A490,'[1]New Data'!A:M,13,0)</f>
        <v>45283</v>
      </c>
      <c r="I84" s="5">
        <f>VLOOKUP('[1]New Data'!A490,'[1]New Data'!A:O,15,0)</f>
        <v>9</v>
      </c>
      <c r="J84" s="3">
        <f>VLOOKUP('[1]New Data'!A490,'[1]New Data'!A:P,16,0)</f>
        <v>285.16873509999999</v>
      </c>
      <c r="K84" s="3">
        <f>VLOOKUP('[1]New Data'!A490,'[1]New Data'!A:Q,17,0)</f>
        <v>2566.5186159999998</v>
      </c>
      <c r="L84" s="3" t="str">
        <f>VLOOKUP('[1]New Data'!A84,'[1]New Data'!A:S,19,0)</f>
        <v>Clothing</v>
      </c>
      <c r="M84" s="3" t="str">
        <f>VLOOKUP('[1]New Data'!A84,'[1]New Data'!A:T,20,0)</f>
        <v>Shirt</v>
      </c>
      <c r="N84" s="5">
        <f>VLOOKUP('[1]New Data'!A490,'[1]New Data'!A:Z,25,0)</f>
        <v>2</v>
      </c>
    </row>
    <row r="85" spans="1:14" hidden="1" x14ac:dyDescent="0.35">
      <c r="A85" s="2">
        <v>8084246</v>
      </c>
      <c r="B85" s="2">
        <v>93000</v>
      </c>
      <c r="C85" s="2" t="s">
        <v>100</v>
      </c>
      <c r="D85" s="2" t="s">
        <v>15</v>
      </c>
      <c r="E85" s="3">
        <f>VLOOKUP('[1]New Data'!A333,'[1]New Data'!A:H,8,0)</f>
        <v>22</v>
      </c>
      <c r="F85" s="3" t="str">
        <f>VLOOKUP('[1]New Data'!A333,'[1]New Data'!A:J,10,0)</f>
        <v>Female</v>
      </c>
      <c r="G85" s="3" t="str">
        <f>VLOOKUP('[1]New Data'!A333,'[1]New Data'!A:K,11,0)</f>
        <v>Low</v>
      </c>
      <c r="H85" s="4">
        <f>VLOOKUP('[1]New Data'!A333,'[1]New Data'!A:M,13,0)</f>
        <v>45126</v>
      </c>
      <c r="I85" s="5">
        <f>VLOOKUP('[1]New Data'!A333,'[1]New Data'!A:O,15,0)</f>
        <v>7</v>
      </c>
      <c r="J85" s="3">
        <f>VLOOKUP('[1]New Data'!A333,'[1]New Data'!A:P,16,0)</f>
        <v>363.7069252</v>
      </c>
      <c r="K85" s="3">
        <f>VLOOKUP('[1]New Data'!A333,'[1]New Data'!A:Q,17,0)</f>
        <v>2545.9484769999999</v>
      </c>
      <c r="L85" s="3" t="str">
        <f>VLOOKUP('[1]New Data'!A85,'[1]New Data'!A:S,19,0)</f>
        <v>Grocery</v>
      </c>
      <c r="M85" s="3" t="str">
        <f>VLOOKUP('[1]New Data'!A85,'[1]New Data'!A:T,20,0)</f>
        <v>Water</v>
      </c>
      <c r="N85" s="5">
        <f>VLOOKUP('[1]New Data'!A333,'[1]New Data'!A:Z,25,0)</f>
        <v>1</v>
      </c>
    </row>
    <row r="86" spans="1:14" hidden="1" x14ac:dyDescent="0.35">
      <c r="A86" s="2">
        <v>6573179</v>
      </c>
      <c r="B86" s="2">
        <v>55594</v>
      </c>
      <c r="C86" s="2" t="s">
        <v>101</v>
      </c>
      <c r="D86" s="2" t="s">
        <v>15</v>
      </c>
      <c r="E86" s="3">
        <f>VLOOKUP('[1]New Data'!A86,'[1]New Data'!A:H,8,0)</f>
        <v>41</v>
      </c>
      <c r="F86" s="3" t="str">
        <f>VLOOKUP('[1]New Data'!A86,'[1]New Data'!A:J,10,0)</f>
        <v>Male</v>
      </c>
      <c r="G86" s="3" t="str">
        <f>VLOOKUP('[1]New Data'!A86,'[1]New Data'!A:K,11,0)</f>
        <v>Low</v>
      </c>
      <c r="H86" s="4">
        <f>VLOOKUP('[1]New Data'!A86,'[1]New Data'!A:M,13,0)</f>
        <v>45243</v>
      </c>
      <c r="I86" s="5">
        <f>VLOOKUP('[1]New Data'!A86,'[1]New Data'!A:O,15,0)</f>
        <v>6</v>
      </c>
      <c r="J86" s="3">
        <f>VLOOKUP('[1]New Data'!A86,'[1]New Data'!A:P,16,0)</f>
        <v>422.38726059999999</v>
      </c>
      <c r="K86" s="3">
        <f>VLOOKUP('[1]New Data'!A86,'[1]New Data'!A:Q,17,0)</f>
        <v>2534.3235629999999</v>
      </c>
      <c r="L86" s="3" t="str">
        <f>VLOOKUP('[1]New Data'!A86,'[1]New Data'!A:S,19,0)</f>
        <v>Clothing</v>
      </c>
      <c r="M86" s="3" t="str">
        <f>VLOOKUP('[1]New Data'!A86,'[1]New Data'!A:T,20,0)</f>
        <v>Jacket</v>
      </c>
      <c r="N86" s="5">
        <f>VLOOKUP('[1]New Data'!A86,'[1]New Data'!A:Z,25,0)</f>
        <v>5</v>
      </c>
    </row>
    <row r="87" spans="1:14" hidden="1" x14ac:dyDescent="0.35">
      <c r="A87" s="2">
        <v>6925572</v>
      </c>
      <c r="B87" s="2">
        <v>42165</v>
      </c>
      <c r="C87" s="2" t="s">
        <v>102</v>
      </c>
      <c r="D87" s="2" t="s">
        <v>15</v>
      </c>
      <c r="E87" s="3">
        <f>VLOOKUP('[1]New Data'!A22,'[1]New Data'!A:H,8,0)</f>
        <v>46</v>
      </c>
      <c r="F87" s="3" t="str">
        <f>VLOOKUP('[1]New Data'!A22,'[1]New Data'!A:J,10,0)</f>
        <v>Male</v>
      </c>
      <c r="G87" s="3" t="str">
        <f>VLOOKUP('[1]New Data'!A22,'[1]New Data'!A:K,11,0)</f>
        <v>Low</v>
      </c>
      <c r="H87" s="4">
        <f>VLOOKUP('[1]New Data'!A22,'[1]New Data'!A:M,13,0)</f>
        <v>45006</v>
      </c>
      <c r="I87" s="5">
        <f>VLOOKUP('[1]New Data'!A22,'[1]New Data'!A:O,15,0)</f>
        <v>6</v>
      </c>
      <c r="J87" s="3">
        <f>VLOOKUP('[1]New Data'!A22,'[1]New Data'!A:P,16,0)</f>
        <v>420.87502979999999</v>
      </c>
      <c r="K87" s="3">
        <f>VLOOKUP('[1]New Data'!A22,'[1]New Data'!A:Q,17,0)</f>
        <v>2525.2501790000001</v>
      </c>
      <c r="L87" s="3" t="str">
        <f>VLOOKUP('[1]New Data'!A87,'[1]New Data'!A:S,19,0)</f>
        <v>Books</v>
      </c>
      <c r="M87" s="3" t="str">
        <f>VLOOKUP('[1]New Data'!A87,'[1]New Data'!A:T,20,0)</f>
        <v>Fiction</v>
      </c>
      <c r="N87" s="5">
        <f>VLOOKUP('[1]New Data'!A22,'[1]New Data'!A:Z,25,0)</f>
        <v>2</v>
      </c>
    </row>
    <row r="88" spans="1:14" hidden="1" x14ac:dyDescent="0.35">
      <c r="A88" s="2">
        <v>6885155</v>
      </c>
      <c r="B88" s="2">
        <v>89528</v>
      </c>
      <c r="C88" s="2" t="s">
        <v>103</v>
      </c>
      <c r="D88" s="2" t="s">
        <v>15</v>
      </c>
      <c r="E88" s="3">
        <f>VLOOKUP('[1]New Data'!A175,'[1]New Data'!A:H,8,0)</f>
        <v>36</v>
      </c>
      <c r="F88" s="3" t="str">
        <f>VLOOKUP('[1]New Data'!A175,'[1]New Data'!A:J,10,0)</f>
        <v>Male</v>
      </c>
      <c r="G88" s="3" t="str">
        <f>VLOOKUP('[1]New Data'!A175,'[1]New Data'!A:K,11,0)</f>
        <v>High</v>
      </c>
      <c r="H88" s="4">
        <f>VLOOKUP('[1]New Data'!A175,'[1]New Data'!A:M,13,0)</f>
        <v>45332</v>
      </c>
      <c r="I88" s="5">
        <f>VLOOKUP('[1]New Data'!A175,'[1]New Data'!A:O,15,0)</f>
        <v>7</v>
      </c>
      <c r="J88" s="3">
        <f>VLOOKUP('[1]New Data'!A175,'[1]New Data'!A:P,16,0)</f>
        <v>360.09199039999999</v>
      </c>
      <c r="K88" s="3">
        <f>VLOOKUP('[1]New Data'!A175,'[1]New Data'!A:Q,17,0)</f>
        <v>2520.6439329999998</v>
      </c>
      <c r="L88" s="3" t="str">
        <f>VLOOKUP('[1]New Data'!A88,'[1]New Data'!A:S,19,0)</f>
        <v>Electronics</v>
      </c>
      <c r="M88" s="3" t="str">
        <f>VLOOKUP('[1]New Data'!A88,'[1]New Data'!A:T,20,0)</f>
        <v>Laptop</v>
      </c>
      <c r="N88" s="5">
        <f>VLOOKUP('[1]New Data'!A175,'[1]New Data'!A:Z,25,0)</f>
        <v>3</v>
      </c>
    </row>
    <row r="89" spans="1:14" hidden="1" x14ac:dyDescent="0.35">
      <c r="A89" s="2">
        <v>7260440</v>
      </c>
      <c r="B89" s="2">
        <v>72079</v>
      </c>
      <c r="C89" s="2" t="s">
        <v>104</v>
      </c>
      <c r="D89" s="2" t="s">
        <v>15</v>
      </c>
      <c r="E89" s="3">
        <f>VLOOKUP('[1]New Data'!A109,'[1]New Data'!A:H,8,0)</f>
        <v>25</v>
      </c>
      <c r="F89" s="3" t="str">
        <f>VLOOKUP('[1]New Data'!A109,'[1]New Data'!A:J,10,0)</f>
        <v>Male</v>
      </c>
      <c r="G89" s="3" t="str">
        <f>VLOOKUP('[1]New Data'!A109,'[1]New Data'!A:K,11,0)</f>
        <v>Low</v>
      </c>
      <c r="H89" s="4">
        <f>VLOOKUP('[1]New Data'!A109,'[1]New Data'!A:M,13,0)</f>
        <v>45272</v>
      </c>
      <c r="I89" s="5">
        <f>VLOOKUP('[1]New Data'!A109,'[1]New Data'!A:O,15,0)</f>
        <v>10</v>
      </c>
      <c r="J89" s="3">
        <f>VLOOKUP('[1]New Data'!A109,'[1]New Data'!A:P,16,0)</f>
        <v>249.8993538</v>
      </c>
      <c r="K89" s="3">
        <f>VLOOKUP('[1]New Data'!A109,'[1]New Data'!A:Q,17,0)</f>
        <v>2498.9935380000002</v>
      </c>
      <c r="L89" s="3" t="str">
        <f>VLOOKUP('[1]New Data'!A89,'[1]New Data'!A:S,19,0)</f>
        <v>Books</v>
      </c>
      <c r="M89" s="3" t="str">
        <f>VLOOKUP('[1]New Data'!A89,'[1]New Data'!A:T,20,0)</f>
        <v>Fiction</v>
      </c>
      <c r="N89" s="5">
        <f>VLOOKUP('[1]New Data'!A109,'[1]New Data'!A:Z,25,0)</f>
        <v>1</v>
      </c>
    </row>
    <row r="90" spans="1:14" hidden="1" x14ac:dyDescent="0.35">
      <c r="A90" s="2">
        <v>7169620</v>
      </c>
      <c r="B90" s="2">
        <v>99652</v>
      </c>
      <c r="C90" s="2" t="s">
        <v>105</v>
      </c>
      <c r="D90" s="2" t="s">
        <v>15</v>
      </c>
      <c r="E90" s="3">
        <f>VLOOKUP('[1]New Data'!A500,'[1]New Data'!A:H,8,0)</f>
        <v>29</v>
      </c>
      <c r="F90" s="3" t="str">
        <f>VLOOKUP('[1]New Data'!A500,'[1]New Data'!A:J,10,0)</f>
        <v>Male</v>
      </c>
      <c r="G90" s="3" t="str">
        <f>VLOOKUP('[1]New Data'!A500,'[1]New Data'!A:K,11,0)</f>
        <v>High</v>
      </c>
      <c r="H90" s="4">
        <f>VLOOKUP('[1]New Data'!A500,'[1]New Data'!A:M,13,0)</f>
        <v>45260</v>
      </c>
      <c r="I90" s="5">
        <f>VLOOKUP('[1]New Data'!A500,'[1]New Data'!A:O,15,0)</f>
        <v>8</v>
      </c>
      <c r="J90" s="3">
        <f>VLOOKUP('[1]New Data'!A500,'[1]New Data'!A:P,16,0)</f>
        <v>311.89415309999998</v>
      </c>
      <c r="K90" s="3">
        <f>VLOOKUP('[1]New Data'!A500,'[1]New Data'!A:Q,17,0)</f>
        <v>2495.153225</v>
      </c>
      <c r="L90" s="3" t="str">
        <f>VLOOKUP('[1]New Data'!A90,'[1]New Data'!A:S,19,0)</f>
        <v>Grocery</v>
      </c>
      <c r="M90" s="3" t="str">
        <f>VLOOKUP('[1]New Data'!A90,'[1]New Data'!A:T,20,0)</f>
        <v>Snacks</v>
      </c>
      <c r="N90" s="5">
        <f>VLOOKUP('[1]New Data'!A500,'[1]New Data'!A:Z,25,0)</f>
        <v>1</v>
      </c>
    </row>
    <row r="91" spans="1:14" hidden="1" x14ac:dyDescent="0.35">
      <c r="A91" s="2">
        <v>9094852</v>
      </c>
      <c r="B91" s="2">
        <v>61308</v>
      </c>
      <c r="C91" s="2" t="s">
        <v>106</v>
      </c>
      <c r="D91" s="2" t="s">
        <v>15</v>
      </c>
      <c r="E91" s="3">
        <f>VLOOKUP('[1]New Data'!A488,'[1]New Data'!A:H,8,0)</f>
        <v>63</v>
      </c>
      <c r="F91" s="3" t="str">
        <f>VLOOKUP('[1]New Data'!A488,'[1]New Data'!A:J,10,0)</f>
        <v>Female</v>
      </c>
      <c r="G91" s="3" t="str">
        <f>VLOOKUP('[1]New Data'!A488,'[1]New Data'!A:K,11,0)</f>
        <v>Medium</v>
      </c>
      <c r="H91" s="4">
        <f>VLOOKUP('[1]New Data'!A488,'[1]New Data'!A:M,13,0)</f>
        <v>45226</v>
      </c>
      <c r="I91" s="5">
        <f>VLOOKUP('[1]New Data'!A488,'[1]New Data'!A:O,15,0)</f>
        <v>5</v>
      </c>
      <c r="J91" s="3">
        <f>VLOOKUP('[1]New Data'!A488,'[1]New Data'!A:P,16,0)</f>
        <v>498.01702340000003</v>
      </c>
      <c r="K91" s="3">
        <f>VLOOKUP('[1]New Data'!A488,'[1]New Data'!A:Q,17,0)</f>
        <v>2490.0851170000001</v>
      </c>
      <c r="L91" s="3" t="str">
        <f>VLOOKUP('[1]New Data'!A91,'[1]New Data'!A:S,19,0)</f>
        <v>Grocery</v>
      </c>
      <c r="M91" s="3" t="str">
        <f>VLOOKUP('[1]New Data'!A91,'[1]New Data'!A:T,20,0)</f>
        <v>Snacks</v>
      </c>
      <c r="N91" s="5">
        <f>VLOOKUP('[1]New Data'!A488,'[1]New Data'!A:Z,25,0)</f>
        <v>1</v>
      </c>
    </row>
    <row r="92" spans="1:14" hidden="1" x14ac:dyDescent="0.35">
      <c r="A92" s="2">
        <v>8780917</v>
      </c>
      <c r="B92" s="2">
        <v>82551</v>
      </c>
      <c r="C92" s="2" t="s">
        <v>107</v>
      </c>
      <c r="D92" s="2" t="s">
        <v>15</v>
      </c>
      <c r="E92" s="3">
        <f>VLOOKUP('[1]New Data'!A377,'[1]New Data'!A:H,8,0)</f>
        <v>36</v>
      </c>
      <c r="F92" s="3" t="str">
        <f>VLOOKUP('[1]New Data'!A377,'[1]New Data'!A:J,10,0)</f>
        <v>Female</v>
      </c>
      <c r="G92" s="3" t="str">
        <f>VLOOKUP('[1]New Data'!A377,'[1]New Data'!A:K,11,0)</f>
        <v>Medium</v>
      </c>
      <c r="H92" s="4">
        <f>VLOOKUP('[1]New Data'!A377,'[1]New Data'!A:M,13,0)</f>
        <v>45153</v>
      </c>
      <c r="I92" s="5">
        <f>VLOOKUP('[1]New Data'!A377,'[1]New Data'!A:O,15,0)</f>
        <v>7</v>
      </c>
      <c r="J92" s="3">
        <f>VLOOKUP('[1]New Data'!A377,'[1]New Data'!A:P,16,0)</f>
        <v>355.09029399999997</v>
      </c>
      <c r="K92" s="3">
        <f>VLOOKUP('[1]New Data'!A377,'[1]New Data'!A:Q,17,0)</f>
        <v>2485.6320580000001</v>
      </c>
      <c r="L92" s="3" t="str">
        <f>VLOOKUP('[1]New Data'!A92,'[1]New Data'!A:S,19,0)</f>
        <v>Books</v>
      </c>
      <c r="M92" s="3" t="str">
        <f>VLOOKUP('[1]New Data'!A92,'[1]New Data'!A:T,20,0)</f>
        <v>Thriller</v>
      </c>
      <c r="N92" s="5">
        <f>VLOOKUP('[1]New Data'!A377,'[1]New Data'!A:Z,25,0)</f>
        <v>3</v>
      </c>
    </row>
    <row r="93" spans="1:14" hidden="1" x14ac:dyDescent="0.35">
      <c r="A93" s="2">
        <v>7232460</v>
      </c>
      <c r="B93" s="2">
        <v>62101</v>
      </c>
      <c r="C93" s="2" t="s">
        <v>108</v>
      </c>
      <c r="D93" s="2" t="s">
        <v>109</v>
      </c>
      <c r="E93" s="3">
        <f>VLOOKUP('[1]New Data'!A5,'[1]New Data'!A:H,8,0)</f>
        <v>56</v>
      </c>
      <c r="F93" s="3" t="str">
        <f>VLOOKUP('[1]New Data'!A5,'[1]New Data'!A:J,10,0)</f>
        <v>Male</v>
      </c>
      <c r="G93" s="3" t="str">
        <f>VLOOKUP('[1]New Data'!A5,'[1]New Data'!A:K,11,0)</f>
        <v>High</v>
      </c>
      <c r="H93" s="4">
        <f>VLOOKUP('[1]New Data'!A5,'[1]New Data'!A:M,13,0)</f>
        <v>45054</v>
      </c>
      <c r="I93" s="5">
        <f>VLOOKUP('[1]New Data'!A5,'[1]New Data'!A:O,15,0)</f>
        <v>7</v>
      </c>
      <c r="J93" s="3">
        <f>VLOOKUP('[1]New Data'!A5,'[1]New Data'!A:P,16,0)</f>
        <v>352.4077173</v>
      </c>
      <c r="K93" s="3">
        <f>VLOOKUP('[1]New Data'!A5,'[1]New Data'!A:Q,17,0)</f>
        <v>2466.8540210000001</v>
      </c>
      <c r="L93" s="3" t="str">
        <f>VLOOKUP('[1]New Data'!A93,'[1]New Data'!A:S,19,0)</f>
        <v>Electronics</v>
      </c>
      <c r="M93" s="3" t="str">
        <f>VLOOKUP('[1]New Data'!A93,'[1]New Data'!A:T,20,0)</f>
        <v>Smartphone</v>
      </c>
      <c r="N93" s="5">
        <f>VLOOKUP('[1]New Data'!A5,'[1]New Data'!A:Z,25,0)</f>
        <v>4</v>
      </c>
    </row>
    <row r="94" spans="1:14" hidden="1" x14ac:dyDescent="0.35">
      <c r="A94" s="2">
        <v>7204003</v>
      </c>
      <c r="B94" s="2">
        <v>48869</v>
      </c>
      <c r="C94" s="2" t="s">
        <v>110</v>
      </c>
      <c r="D94" s="2" t="s">
        <v>15</v>
      </c>
      <c r="E94" s="3">
        <f>VLOOKUP('[1]New Data'!A284,'[1]New Data'!A:H,8,0)</f>
        <v>55</v>
      </c>
      <c r="F94" s="3" t="str">
        <f>VLOOKUP('[1]New Data'!A284,'[1]New Data'!A:J,10,0)</f>
        <v>Male</v>
      </c>
      <c r="G94" s="3" t="str">
        <f>VLOOKUP('[1]New Data'!A284,'[1]New Data'!A:K,11,0)</f>
        <v>High</v>
      </c>
      <c r="H94" s="4">
        <f>VLOOKUP('[1]New Data'!A284,'[1]New Data'!A:M,13,0)</f>
        <v>45337</v>
      </c>
      <c r="I94" s="5">
        <f>VLOOKUP('[1]New Data'!A284,'[1]New Data'!A:O,15,0)</f>
        <v>7</v>
      </c>
      <c r="J94" s="3">
        <f>VLOOKUP('[1]New Data'!A284,'[1]New Data'!A:P,16,0)</f>
        <v>352.12903540000002</v>
      </c>
      <c r="K94" s="3">
        <f>VLOOKUP('[1]New Data'!A284,'[1]New Data'!A:Q,17,0)</f>
        <v>2464.9032480000001</v>
      </c>
      <c r="L94" s="3" t="str">
        <f>VLOOKUP('[1]New Data'!A94,'[1]New Data'!A:S,19,0)</f>
        <v>Electronics</v>
      </c>
      <c r="M94" s="3" t="str">
        <f>VLOOKUP('[1]New Data'!A94,'[1]New Data'!A:T,20,0)</f>
        <v>Smartphone</v>
      </c>
      <c r="N94" s="5">
        <f>VLOOKUP('[1]New Data'!A284,'[1]New Data'!A:Z,25,0)</f>
        <v>4</v>
      </c>
    </row>
    <row r="95" spans="1:14" hidden="1" x14ac:dyDescent="0.35">
      <c r="A95" s="2">
        <v>7107984</v>
      </c>
      <c r="B95" s="2">
        <v>99453</v>
      </c>
      <c r="C95" s="2" t="s">
        <v>111</v>
      </c>
      <c r="D95" s="2" t="s">
        <v>15</v>
      </c>
      <c r="E95" s="3">
        <f>VLOOKUP('[1]New Data'!A334,'[1]New Data'!A:H,8,0)</f>
        <v>36</v>
      </c>
      <c r="F95" s="3" t="str">
        <f>VLOOKUP('[1]New Data'!A334,'[1]New Data'!A:J,10,0)</f>
        <v>Female</v>
      </c>
      <c r="G95" s="3" t="str">
        <f>VLOOKUP('[1]New Data'!A334,'[1]New Data'!A:K,11,0)</f>
        <v>Low</v>
      </c>
      <c r="H95" s="4">
        <f>VLOOKUP('[1]New Data'!A334,'[1]New Data'!A:M,13,0)</f>
        <v>45260</v>
      </c>
      <c r="I95" s="5">
        <f>VLOOKUP('[1]New Data'!A334,'[1]New Data'!A:O,15,0)</f>
        <v>7</v>
      </c>
      <c r="J95" s="3">
        <f>VLOOKUP('[1]New Data'!A334,'[1]New Data'!A:P,16,0)</f>
        <v>348.49322510000002</v>
      </c>
      <c r="K95" s="3">
        <f>VLOOKUP('[1]New Data'!A334,'[1]New Data'!A:Q,17,0)</f>
        <v>2439.4525760000001</v>
      </c>
      <c r="L95" s="3" t="str">
        <f>VLOOKUP('[1]New Data'!A95,'[1]New Data'!A:S,19,0)</f>
        <v>Grocery</v>
      </c>
      <c r="M95" s="3" t="str">
        <f>VLOOKUP('[1]New Data'!A95,'[1]New Data'!A:T,20,0)</f>
        <v>Chocolate</v>
      </c>
      <c r="N95" s="5">
        <f>VLOOKUP('[1]New Data'!A334,'[1]New Data'!A:Z,25,0)</f>
        <v>4</v>
      </c>
    </row>
    <row r="96" spans="1:14" hidden="1" x14ac:dyDescent="0.35">
      <c r="A96" s="2">
        <v>2053180</v>
      </c>
      <c r="B96" s="2">
        <v>23951</v>
      </c>
      <c r="C96" s="2" t="s">
        <v>112</v>
      </c>
      <c r="D96" s="2" t="s">
        <v>15</v>
      </c>
      <c r="E96" s="3">
        <f>VLOOKUP('[1]New Data'!A280,'[1]New Data'!A:H,8,0)</f>
        <v>28</v>
      </c>
      <c r="F96" s="3" t="str">
        <f>VLOOKUP('[1]New Data'!A280,'[1]New Data'!A:J,10,0)</f>
        <v>Male</v>
      </c>
      <c r="G96" s="3" t="str">
        <f>VLOOKUP('[1]New Data'!A280,'[1]New Data'!A:K,11,0)</f>
        <v>Medium</v>
      </c>
      <c r="H96" s="4">
        <f>VLOOKUP('[1]New Data'!A280,'[1]New Data'!A:M,13,0)</f>
        <v>45283</v>
      </c>
      <c r="I96" s="5">
        <f>VLOOKUP('[1]New Data'!A280,'[1]New Data'!A:O,15,0)</f>
        <v>6</v>
      </c>
      <c r="J96" s="3">
        <f>VLOOKUP('[1]New Data'!A280,'[1]New Data'!A:P,16,0)</f>
        <v>404.85325949999998</v>
      </c>
      <c r="K96" s="3">
        <f>VLOOKUP('[1]New Data'!A280,'[1]New Data'!A:Q,17,0)</f>
        <v>2429.119557</v>
      </c>
      <c r="L96" s="3" t="str">
        <f>VLOOKUP('[1]New Data'!A96,'[1]New Data'!A:S,19,0)</f>
        <v>Clothing</v>
      </c>
      <c r="M96" s="3" t="str">
        <f>VLOOKUP('[1]New Data'!A96,'[1]New Data'!A:T,20,0)</f>
        <v>Shorts</v>
      </c>
      <c r="N96" s="5">
        <f>VLOOKUP('[1]New Data'!A280,'[1]New Data'!A:Z,25,0)</f>
        <v>4</v>
      </c>
    </row>
    <row r="97" spans="1:14" hidden="1" x14ac:dyDescent="0.35">
      <c r="A97" s="2">
        <v>8796466</v>
      </c>
      <c r="B97" s="2">
        <v>90189</v>
      </c>
      <c r="C97" s="2" t="s">
        <v>113</v>
      </c>
      <c r="D97" s="2" t="s">
        <v>15</v>
      </c>
      <c r="E97" s="3">
        <f>VLOOKUP('[1]New Data'!A50,'[1]New Data'!A:H,8,0)</f>
        <v>35</v>
      </c>
      <c r="F97" s="3" t="str">
        <f>VLOOKUP('[1]New Data'!A50,'[1]New Data'!A:J,10,0)</f>
        <v>Female</v>
      </c>
      <c r="G97" s="3" t="str">
        <f>VLOOKUP('[1]New Data'!A50,'[1]New Data'!A:K,11,0)</f>
        <v>Medium</v>
      </c>
      <c r="H97" s="4">
        <f>VLOOKUP('[1]New Data'!A50,'[1]New Data'!A:M,13,0)</f>
        <v>45035</v>
      </c>
      <c r="I97" s="5">
        <f>VLOOKUP('[1]New Data'!A50,'[1]New Data'!A:O,15,0)</f>
        <v>7</v>
      </c>
      <c r="J97" s="3">
        <f>VLOOKUP('[1]New Data'!A50,'[1]New Data'!A:P,16,0)</f>
        <v>346.7195926</v>
      </c>
      <c r="K97" s="3">
        <f>VLOOKUP('[1]New Data'!A50,'[1]New Data'!A:Q,17,0)</f>
        <v>2427.0371479999999</v>
      </c>
      <c r="L97" s="3" t="str">
        <f>VLOOKUP('[1]New Data'!A97,'[1]New Data'!A:S,19,0)</f>
        <v>Grocery</v>
      </c>
      <c r="M97" s="3" t="str">
        <f>VLOOKUP('[1]New Data'!A97,'[1]New Data'!A:T,20,0)</f>
        <v>Water</v>
      </c>
      <c r="N97" s="5">
        <f>VLOOKUP('[1]New Data'!A50,'[1]New Data'!A:Z,25,0)</f>
        <v>1</v>
      </c>
    </row>
    <row r="98" spans="1:14" hidden="1" x14ac:dyDescent="0.35">
      <c r="A98" s="2">
        <v>8973612</v>
      </c>
      <c r="B98" s="2">
        <v>65701</v>
      </c>
      <c r="C98" s="2" t="s">
        <v>114</v>
      </c>
      <c r="D98" s="2" t="s">
        <v>15</v>
      </c>
      <c r="E98" s="3">
        <f>VLOOKUP('[1]New Data'!A34,'[1]New Data'!A:H,8,0)</f>
        <v>66</v>
      </c>
      <c r="F98" s="3" t="str">
        <f>VLOOKUP('[1]New Data'!A34,'[1]New Data'!A:J,10,0)</f>
        <v>Male</v>
      </c>
      <c r="G98" s="3" t="str">
        <f>VLOOKUP('[1]New Data'!A34,'[1]New Data'!A:K,11,0)</f>
        <v>Medium</v>
      </c>
      <c r="H98" s="4">
        <f>VLOOKUP('[1]New Data'!A34,'[1]New Data'!A:M,13,0)</f>
        <v>45068</v>
      </c>
      <c r="I98" s="5">
        <f>VLOOKUP('[1]New Data'!A34,'[1]New Data'!A:O,15,0)</f>
        <v>7</v>
      </c>
      <c r="J98" s="3">
        <f>VLOOKUP('[1]New Data'!A34,'[1]New Data'!A:P,16,0)</f>
        <v>344.67918509999998</v>
      </c>
      <c r="K98" s="3">
        <f>VLOOKUP('[1]New Data'!A34,'[1]New Data'!A:Q,17,0)</f>
        <v>2412.7542960000001</v>
      </c>
      <c r="L98" s="3" t="str">
        <f>VLOOKUP('[1]New Data'!A98,'[1]New Data'!A:S,19,0)</f>
        <v>Books</v>
      </c>
      <c r="M98" s="3" t="str">
        <f>VLOOKUP('[1]New Data'!A98,'[1]New Data'!A:T,20,0)</f>
        <v>Fiction</v>
      </c>
      <c r="N98" s="5">
        <f>VLOOKUP('[1]New Data'!A34,'[1]New Data'!A:Z,25,0)</f>
        <v>5</v>
      </c>
    </row>
    <row r="99" spans="1:14" hidden="1" x14ac:dyDescent="0.35">
      <c r="A99" s="2">
        <v>7196203</v>
      </c>
      <c r="B99" s="2">
        <v>15041</v>
      </c>
      <c r="C99" s="2" t="s">
        <v>115</v>
      </c>
      <c r="D99" s="2" t="s">
        <v>15</v>
      </c>
      <c r="E99" s="3">
        <f>VLOOKUP('[1]New Data'!A432,'[1]New Data'!A:H,8,0)</f>
        <v>53</v>
      </c>
      <c r="F99" s="3" t="str">
        <f>VLOOKUP('[1]New Data'!A432,'[1]New Data'!A:J,10,0)</f>
        <v>Female</v>
      </c>
      <c r="G99" s="3" t="str">
        <f>VLOOKUP('[1]New Data'!A432,'[1]New Data'!A:K,11,0)</f>
        <v>Medium</v>
      </c>
      <c r="H99" s="4">
        <f>VLOOKUP('[1]New Data'!A432,'[1]New Data'!A:M,13,0)</f>
        <v>45247</v>
      </c>
      <c r="I99" s="5">
        <f>VLOOKUP('[1]New Data'!A432,'[1]New Data'!A:O,15,0)</f>
        <v>5</v>
      </c>
      <c r="J99" s="3">
        <f>VLOOKUP('[1]New Data'!A432,'[1]New Data'!A:P,16,0)</f>
        <v>481.85917769999998</v>
      </c>
      <c r="K99" s="3">
        <f>VLOOKUP('[1]New Data'!A432,'[1]New Data'!A:Q,17,0)</f>
        <v>2409.295889</v>
      </c>
      <c r="L99" s="3" t="str">
        <f>VLOOKUP('[1]New Data'!A99,'[1]New Data'!A:S,19,0)</f>
        <v>Grocery</v>
      </c>
      <c r="M99" s="3" t="str">
        <f>VLOOKUP('[1]New Data'!A99,'[1]New Data'!A:T,20,0)</f>
        <v>Soft Drink</v>
      </c>
      <c r="N99" s="5">
        <f>VLOOKUP('[1]New Data'!A432,'[1]New Data'!A:Z,25,0)</f>
        <v>2</v>
      </c>
    </row>
    <row r="100" spans="1:14" hidden="1" x14ac:dyDescent="0.35">
      <c r="A100" s="2">
        <v>4962423</v>
      </c>
      <c r="B100" s="2">
        <v>21224</v>
      </c>
      <c r="C100" s="2" t="s">
        <v>116</v>
      </c>
      <c r="D100" s="2" t="s">
        <v>15</v>
      </c>
      <c r="E100" s="3">
        <f>VLOOKUP('[1]New Data'!A228,'[1]New Data'!A:H,8,0)</f>
        <v>49</v>
      </c>
      <c r="F100" s="3" t="str">
        <f>VLOOKUP('[1]New Data'!A228,'[1]New Data'!A:J,10,0)</f>
        <v>Female</v>
      </c>
      <c r="G100" s="3" t="str">
        <f>VLOOKUP('[1]New Data'!A228,'[1]New Data'!A:K,11,0)</f>
        <v>Medium</v>
      </c>
      <c r="H100" s="4">
        <f>VLOOKUP('[1]New Data'!A228,'[1]New Data'!A:M,13,0)</f>
        <v>45007</v>
      </c>
      <c r="I100" s="5">
        <f>VLOOKUP('[1]New Data'!A228,'[1]New Data'!A:O,15,0)</f>
        <v>5</v>
      </c>
      <c r="J100" s="3">
        <f>VLOOKUP('[1]New Data'!A228,'[1]New Data'!A:P,16,0)</f>
        <v>477.75456329999997</v>
      </c>
      <c r="K100" s="3">
        <f>VLOOKUP('[1]New Data'!A228,'[1]New Data'!A:Q,17,0)</f>
        <v>2388.772817</v>
      </c>
      <c r="L100" s="3" t="str">
        <f>VLOOKUP('[1]New Data'!A100,'[1]New Data'!A:S,19,0)</f>
        <v>Clothing</v>
      </c>
      <c r="M100" s="3" t="str">
        <f>VLOOKUP('[1]New Data'!A100,'[1]New Data'!A:T,20,0)</f>
        <v>Shirt</v>
      </c>
      <c r="N100" s="5">
        <f>VLOOKUP('[1]New Data'!A228,'[1]New Data'!A:Z,25,0)</f>
        <v>2</v>
      </c>
    </row>
    <row r="101" spans="1:14" hidden="1" x14ac:dyDescent="0.35">
      <c r="A101" s="2">
        <v>6726352</v>
      </c>
      <c r="B101" s="2">
        <v>26172</v>
      </c>
      <c r="C101" s="2" t="s">
        <v>117</v>
      </c>
      <c r="D101" s="2" t="s">
        <v>15</v>
      </c>
      <c r="E101" s="3">
        <f>VLOOKUP('[1]New Data'!A174,'[1]New Data'!A:H,8,0)</f>
        <v>23</v>
      </c>
      <c r="F101" s="3" t="str">
        <f>VLOOKUP('[1]New Data'!A174,'[1]New Data'!A:J,10,0)</f>
        <v>Female</v>
      </c>
      <c r="G101" s="3" t="str">
        <f>VLOOKUP('[1]New Data'!A174,'[1]New Data'!A:K,11,0)</f>
        <v>Low</v>
      </c>
      <c r="H101" s="4">
        <f>VLOOKUP('[1]New Data'!A174,'[1]New Data'!A:M,13,0)</f>
        <v>45054</v>
      </c>
      <c r="I101" s="5">
        <f>VLOOKUP('[1]New Data'!A174,'[1]New Data'!A:O,15,0)</f>
        <v>5</v>
      </c>
      <c r="J101" s="3">
        <f>VLOOKUP('[1]New Data'!A174,'[1]New Data'!A:P,16,0)</f>
        <v>473.90139379999999</v>
      </c>
      <c r="K101" s="3">
        <f>VLOOKUP('[1]New Data'!A174,'[1]New Data'!A:Q,17,0)</f>
        <v>2369.506969</v>
      </c>
      <c r="L101" s="3" t="str">
        <f>VLOOKUP('[1]New Data'!A101,'[1]New Data'!A:S,19,0)</f>
        <v>Books</v>
      </c>
      <c r="M101" s="3" t="str">
        <f>VLOOKUP('[1]New Data'!A101,'[1]New Data'!A:T,20,0)</f>
        <v>Fiction</v>
      </c>
      <c r="N101" s="5">
        <f>VLOOKUP('[1]New Data'!A174,'[1]New Data'!A:Z,25,0)</f>
        <v>2</v>
      </c>
    </row>
    <row r="102" spans="1:14" hidden="1" x14ac:dyDescent="0.35">
      <c r="A102" s="2">
        <v>9209702</v>
      </c>
      <c r="B102" s="2">
        <v>30293</v>
      </c>
      <c r="C102" s="2" t="s">
        <v>118</v>
      </c>
      <c r="D102" s="2" t="s">
        <v>15</v>
      </c>
      <c r="E102" s="3">
        <f>VLOOKUP('[1]New Data'!A310,'[1]New Data'!A:H,8,0)</f>
        <v>67</v>
      </c>
      <c r="F102" s="3" t="str">
        <f>VLOOKUP('[1]New Data'!A310,'[1]New Data'!A:J,10,0)</f>
        <v>Male</v>
      </c>
      <c r="G102" s="3" t="str">
        <f>VLOOKUP('[1]New Data'!A310,'[1]New Data'!A:K,11,0)</f>
        <v>Medium</v>
      </c>
      <c r="H102" s="4">
        <f>VLOOKUP('[1]New Data'!A310,'[1]New Data'!A:M,13,0)</f>
        <v>45019</v>
      </c>
      <c r="I102" s="5">
        <f>VLOOKUP('[1]New Data'!A310,'[1]New Data'!A:O,15,0)</f>
        <v>5</v>
      </c>
      <c r="J102" s="3">
        <f>VLOOKUP('[1]New Data'!A310,'[1]New Data'!A:P,16,0)</f>
        <v>472.79834940000001</v>
      </c>
      <c r="K102" s="3">
        <f>VLOOKUP('[1]New Data'!A310,'[1]New Data'!A:Q,17,0)</f>
        <v>2363.991747</v>
      </c>
      <c r="L102" s="3" t="str">
        <f>VLOOKUP('[1]New Data'!A102,'[1]New Data'!A:S,19,0)</f>
        <v>Books</v>
      </c>
      <c r="M102" s="3" t="str">
        <f>VLOOKUP('[1]New Data'!A102,'[1]New Data'!A:T,20,0)</f>
        <v>Fiction</v>
      </c>
      <c r="N102" s="5">
        <f>VLOOKUP('[1]New Data'!A310,'[1]New Data'!A:Z,25,0)</f>
        <v>4</v>
      </c>
    </row>
    <row r="103" spans="1:14" hidden="1" x14ac:dyDescent="0.35">
      <c r="A103" s="2">
        <v>5230876</v>
      </c>
      <c r="B103" s="2">
        <v>23097</v>
      </c>
      <c r="C103" s="2" t="s">
        <v>119</v>
      </c>
      <c r="D103" s="2" t="s">
        <v>15</v>
      </c>
      <c r="E103" s="3">
        <f>VLOOKUP('[1]New Data'!A29,'[1]New Data'!A:H,8,0)</f>
        <v>67</v>
      </c>
      <c r="F103" s="3" t="str">
        <f>VLOOKUP('[1]New Data'!A29,'[1]New Data'!A:J,10,0)</f>
        <v>Male</v>
      </c>
      <c r="G103" s="3" t="str">
        <f>VLOOKUP('[1]New Data'!A29,'[1]New Data'!A:K,11,0)</f>
        <v>Low</v>
      </c>
      <c r="H103" s="4">
        <f>VLOOKUP('[1]New Data'!A29,'[1]New Data'!A:M,13,0)</f>
        <v>45298</v>
      </c>
      <c r="I103" s="5">
        <f>VLOOKUP('[1]New Data'!A29,'[1]New Data'!A:O,15,0)</f>
        <v>5</v>
      </c>
      <c r="J103" s="3">
        <f>VLOOKUP('[1]New Data'!A29,'[1]New Data'!A:P,16,0)</f>
        <v>471.48213199999998</v>
      </c>
      <c r="K103" s="3">
        <f>VLOOKUP('[1]New Data'!A29,'[1]New Data'!A:Q,17,0)</f>
        <v>2357.41066</v>
      </c>
      <c r="L103" s="3" t="str">
        <f>VLOOKUP('[1]New Data'!A103,'[1]New Data'!A:S,19,0)</f>
        <v>Grocery</v>
      </c>
      <c r="M103" s="3" t="str">
        <f>VLOOKUP('[1]New Data'!A103,'[1]New Data'!A:T,20,0)</f>
        <v>Snacks</v>
      </c>
      <c r="N103" s="5">
        <f>VLOOKUP('[1]New Data'!A29,'[1]New Data'!A:Z,25,0)</f>
        <v>1</v>
      </c>
    </row>
    <row r="104" spans="1:14" hidden="1" x14ac:dyDescent="0.35">
      <c r="A104" s="2">
        <v>1719847</v>
      </c>
      <c r="B104" s="2">
        <v>47017</v>
      </c>
      <c r="C104" s="2" t="s">
        <v>120</v>
      </c>
      <c r="D104" s="2" t="s">
        <v>15</v>
      </c>
      <c r="E104" s="3">
        <f>VLOOKUP('[1]New Data'!A287,'[1]New Data'!A:H,8,0)</f>
        <v>38</v>
      </c>
      <c r="F104" s="3" t="str">
        <f>VLOOKUP('[1]New Data'!A287,'[1]New Data'!A:J,10,0)</f>
        <v>Male</v>
      </c>
      <c r="G104" s="3" t="str">
        <f>VLOOKUP('[1]New Data'!A287,'[1]New Data'!A:K,11,0)</f>
        <v>Medium</v>
      </c>
      <c r="H104" s="4">
        <f>VLOOKUP('[1]New Data'!A287,'[1]New Data'!A:M,13,0)</f>
        <v>45187</v>
      </c>
      <c r="I104" s="5">
        <f>VLOOKUP('[1]New Data'!A287,'[1]New Data'!A:O,15,0)</f>
        <v>5</v>
      </c>
      <c r="J104" s="3">
        <f>VLOOKUP('[1]New Data'!A287,'[1]New Data'!A:P,16,0)</f>
        <v>471.317362</v>
      </c>
      <c r="K104" s="3">
        <f>VLOOKUP('[1]New Data'!A287,'[1]New Data'!A:Q,17,0)</f>
        <v>2356.5868099999998</v>
      </c>
      <c r="L104" s="3" t="str">
        <f>VLOOKUP('[1]New Data'!A104,'[1]New Data'!A:S,19,0)</f>
        <v>Grocery</v>
      </c>
      <c r="M104" s="3" t="str">
        <f>VLOOKUP('[1]New Data'!A104,'[1]New Data'!A:T,20,0)</f>
        <v>Chocolate</v>
      </c>
      <c r="N104" s="5">
        <f>VLOOKUP('[1]New Data'!A287,'[1]New Data'!A:Z,25,0)</f>
        <v>5</v>
      </c>
    </row>
    <row r="105" spans="1:14" x14ac:dyDescent="0.35">
      <c r="A105" s="2">
        <v>9484414</v>
      </c>
      <c r="B105" s="2">
        <v>50056</v>
      </c>
      <c r="C105" s="2" t="s">
        <v>121</v>
      </c>
      <c r="D105" s="2" t="s">
        <v>15</v>
      </c>
      <c r="E105" s="3">
        <f>VLOOKUP('[1]New Data'!A140,'[1]New Data'!A:H,8,0)</f>
        <v>60</v>
      </c>
      <c r="F105" s="3" t="str">
        <f>VLOOKUP('[1]New Data'!A140,'[1]New Data'!A:J,10,0)</f>
        <v>Male</v>
      </c>
      <c r="G105" s="3" t="str">
        <f>VLOOKUP('[1]New Data'!A140,'[1]New Data'!A:K,11,0)</f>
        <v>Low</v>
      </c>
      <c r="H105" s="4">
        <f>VLOOKUP('[1]New Data'!A140,'[1]New Data'!A:M,13,0)</f>
        <v>45170</v>
      </c>
      <c r="I105" s="5">
        <f>VLOOKUP('[1]New Data'!A140,'[1]New Data'!A:O,15,0)</f>
        <v>6</v>
      </c>
      <c r="J105" s="3">
        <f>VLOOKUP('[1]New Data'!A140,'[1]New Data'!A:P,16,0)</f>
        <v>380.30251049999998</v>
      </c>
      <c r="K105" s="3">
        <f>VLOOKUP('[1]New Data'!A140,'[1]New Data'!A:Q,17,0)</f>
        <v>2281.815063</v>
      </c>
      <c r="L105" s="3" t="str">
        <f>VLOOKUP('[1]New Data'!A105,'[1]New Data'!A:S,19,0)</f>
        <v>Home Decor</v>
      </c>
      <c r="M105" s="3" t="str">
        <f>VLOOKUP('[1]New Data'!A105,'[1]New Data'!A:T,20,0)</f>
        <v>Bathroom</v>
      </c>
      <c r="N105" s="5">
        <f>VLOOKUP('[1]New Data'!A140,'[1]New Data'!A:Z,25,0)</f>
        <v>3</v>
      </c>
    </row>
    <row r="106" spans="1:14" x14ac:dyDescent="0.35">
      <c r="A106" s="2">
        <v>5621422</v>
      </c>
      <c r="B106" s="2">
        <v>88053</v>
      </c>
      <c r="C106" s="2" t="s">
        <v>122</v>
      </c>
      <c r="D106" s="2" t="s">
        <v>15</v>
      </c>
      <c r="E106" s="3">
        <f>VLOOKUP('[1]New Data'!A190,'[1]New Data'!A:H,8,0)</f>
        <v>55</v>
      </c>
      <c r="F106" s="3" t="str">
        <f>VLOOKUP('[1]New Data'!A190,'[1]New Data'!A:J,10,0)</f>
        <v>Male</v>
      </c>
      <c r="G106" s="3" t="str">
        <f>VLOOKUP('[1]New Data'!A190,'[1]New Data'!A:K,11,0)</f>
        <v>High</v>
      </c>
      <c r="H106" s="4">
        <f>VLOOKUP('[1]New Data'!A190,'[1]New Data'!A:M,13,0)</f>
        <v>45136</v>
      </c>
      <c r="I106" s="5">
        <f>VLOOKUP('[1]New Data'!A190,'[1]New Data'!A:O,15,0)</f>
        <v>7</v>
      </c>
      <c r="J106" s="3">
        <f>VLOOKUP('[1]New Data'!A190,'[1]New Data'!A:P,16,0)</f>
        <v>325.64255009999999</v>
      </c>
      <c r="K106" s="3">
        <f>VLOOKUP('[1]New Data'!A190,'[1]New Data'!A:Q,17,0)</f>
        <v>2279.4978510000001</v>
      </c>
      <c r="L106" s="3" t="str">
        <f>VLOOKUP('[1]New Data'!A106,'[1]New Data'!A:S,19,0)</f>
        <v>Home Decor</v>
      </c>
      <c r="M106" s="3" t="str">
        <f>VLOOKUP('[1]New Data'!A106,'[1]New Data'!A:T,20,0)</f>
        <v>Bedding</v>
      </c>
      <c r="N106" s="5">
        <f>VLOOKUP('[1]New Data'!A190,'[1]New Data'!A:Z,25,0)</f>
        <v>1</v>
      </c>
    </row>
    <row r="107" spans="1:14" hidden="1" x14ac:dyDescent="0.35">
      <c r="A107" s="2">
        <v>1895008</v>
      </c>
      <c r="B107" s="2">
        <v>77277</v>
      </c>
      <c r="C107" s="2" t="s">
        <v>123</v>
      </c>
      <c r="D107" s="2" t="s">
        <v>15</v>
      </c>
      <c r="E107" s="3">
        <f>VLOOKUP('[1]New Data'!A196,'[1]New Data'!A:H,8,0)</f>
        <v>26</v>
      </c>
      <c r="F107" s="3" t="str">
        <f>VLOOKUP('[1]New Data'!A196,'[1]New Data'!A:J,10,0)</f>
        <v>Male</v>
      </c>
      <c r="G107" s="3" t="str">
        <f>VLOOKUP('[1]New Data'!A196,'[1]New Data'!A:K,11,0)</f>
        <v>Low</v>
      </c>
      <c r="H107" s="4">
        <f>VLOOKUP('[1]New Data'!A196,'[1]New Data'!A:M,13,0)</f>
        <v>45165</v>
      </c>
      <c r="I107" s="5">
        <f>VLOOKUP('[1]New Data'!A196,'[1]New Data'!A:O,15,0)</f>
        <v>9</v>
      </c>
      <c r="J107" s="3">
        <f>VLOOKUP('[1]New Data'!A196,'[1]New Data'!A:P,16,0)</f>
        <v>253.10019779999999</v>
      </c>
      <c r="K107" s="3">
        <f>VLOOKUP('[1]New Data'!A196,'[1]New Data'!A:Q,17,0)</f>
        <v>2277.9017800000001</v>
      </c>
      <c r="L107" s="3" t="str">
        <f>VLOOKUP('[1]New Data'!A107,'[1]New Data'!A:S,19,0)</f>
        <v>Books</v>
      </c>
      <c r="M107" s="3" t="str">
        <f>VLOOKUP('[1]New Data'!A107,'[1]New Data'!A:T,20,0)</f>
        <v>Literature</v>
      </c>
      <c r="N107" s="5">
        <f>VLOOKUP('[1]New Data'!A196,'[1]New Data'!A:Z,25,0)</f>
        <v>1</v>
      </c>
    </row>
    <row r="108" spans="1:14" hidden="1" x14ac:dyDescent="0.35">
      <c r="A108" s="2">
        <v>5849110</v>
      </c>
      <c r="B108" s="2">
        <v>43816</v>
      </c>
      <c r="C108" s="2" t="s">
        <v>124</v>
      </c>
      <c r="D108" s="2" t="s">
        <v>15</v>
      </c>
      <c r="E108" s="3">
        <f>VLOOKUP('[1]New Data'!A221,'[1]New Data'!A:H,8,0)</f>
        <v>21</v>
      </c>
      <c r="F108" s="3" t="str">
        <f>VLOOKUP('[1]New Data'!A221,'[1]New Data'!A:J,10,0)</f>
        <v>Female</v>
      </c>
      <c r="G108" s="3" t="str">
        <f>VLOOKUP('[1]New Data'!A221,'[1]New Data'!A:K,11,0)</f>
        <v>Low</v>
      </c>
      <c r="H108" s="4">
        <f>VLOOKUP('[1]New Data'!A221,'[1]New Data'!A:M,13,0)</f>
        <v>45150</v>
      </c>
      <c r="I108" s="5">
        <f>VLOOKUP('[1]New Data'!A221,'[1]New Data'!A:O,15,0)</f>
        <v>8</v>
      </c>
      <c r="J108" s="3">
        <f>VLOOKUP('[1]New Data'!A221,'[1]New Data'!A:P,16,0)</f>
        <v>283.26600079999997</v>
      </c>
      <c r="K108" s="3">
        <f>VLOOKUP('[1]New Data'!A221,'[1]New Data'!A:Q,17,0)</f>
        <v>2266.1280059999999</v>
      </c>
      <c r="L108" s="3" t="str">
        <f>VLOOKUP('[1]New Data'!A108,'[1]New Data'!A:S,19,0)</f>
        <v>Electronics</v>
      </c>
      <c r="M108" s="3" t="str">
        <f>VLOOKUP('[1]New Data'!A108,'[1]New Data'!A:T,20,0)</f>
        <v>Smartphone</v>
      </c>
      <c r="N108" s="5">
        <f>VLOOKUP('[1]New Data'!A221,'[1]New Data'!A:Z,25,0)</f>
        <v>3</v>
      </c>
    </row>
    <row r="109" spans="1:14" x14ac:dyDescent="0.35">
      <c r="A109" s="2">
        <v>9363644</v>
      </c>
      <c r="B109" s="2">
        <v>89992</v>
      </c>
      <c r="C109" s="2" t="s">
        <v>125</v>
      </c>
      <c r="D109" s="2" t="s">
        <v>15</v>
      </c>
      <c r="E109" s="3">
        <f>VLOOKUP('[1]New Data'!A384,'[1]New Data'!A:H,8,0)</f>
        <v>47</v>
      </c>
      <c r="F109" s="3" t="str">
        <f>VLOOKUP('[1]New Data'!A384,'[1]New Data'!A:J,10,0)</f>
        <v>Male</v>
      </c>
      <c r="G109" s="3" t="str">
        <f>VLOOKUP('[1]New Data'!A384,'[1]New Data'!A:K,11,0)</f>
        <v>Medium</v>
      </c>
      <c r="H109" s="4">
        <f>VLOOKUP('[1]New Data'!A384,'[1]New Data'!A:M,13,0)</f>
        <v>45272</v>
      </c>
      <c r="I109" s="5">
        <f>VLOOKUP('[1]New Data'!A384,'[1]New Data'!A:O,15,0)</f>
        <v>6</v>
      </c>
      <c r="J109" s="3">
        <f>VLOOKUP('[1]New Data'!A384,'[1]New Data'!A:P,16,0)</f>
        <v>371.98932630000002</v>
      </c>
      <c r="K109" s="3">
        <f>VLOOKUP('[1]New Data'!A384,'[1]New Data'!A:Q,17,0)</f>
        <v>2231.935958</v>
      </c>
      <c r="L109" s="3" t="str">
        <f>VLOOKUP('[1]New Data'!A109,'[1]New Data'!A:S,19,0)</f>
        <v>Home Decor</v>
      </c>
      <c r="M109" s="3" t="str">
        <f>VLOOKUP('[1]New Data'!A109,'[1]New Data'!A:T,20,0)</f>
        <v>Furniture</v>
      </c>
      <c r="N109" s="5">
        <f>VLOOKUP('[1]New Data'!A384,'[1]New Data'!A:Z,25,0)</f>
        <v>3</v>
      </c>
    </row>
    <row r="110" spans="1:14" hidden="1" x14ac:dyDescent="0.35">
      <c r="A110" s="2">
        <v>8498173</v>
      </c>
      <c r="B110" s="2">
        <v>84624</v>
      </c>
      <c r="C110" s="2" t="s">
        <v>126</v>
      </c>
      <c r="D110" s="2" t="s">
        <v>15</v>
      </c>
      <c r="E110" s="3">
        <f>VLOOKUP('[1]New Data'!A429,'[1]New Data'!A:H,8,0)</f>
        <v>48</v>
      </c>
      <c r="F110" s="3" t="str">
        <f>VLOOKUP('[1]New Data'!A429,'[1]New Data'!A:J,10,0)</f>
        <v>Male</v>
      </c>
      <c r="G110" s="3" t="str">
        <f>VLOOKUP('[1]New Data'!A429,'[1]New Data'!A:K,11,0)</f>
        <v>High</v>
      </c>
      <c r="H110" s="4">
        <f>VLOOKUP('[1]New Data'!A429,'[1]New Data'!A:M,13,0)</f>
        <v>45312</v>
      </c>
      <c r="I110" s="5">
        <f>VLOOKUP('[1]New Data'!A429,'[1]New Data'!A:O,15,0)</f>
        <v>10</v>
      </c>
      <c r="J110" s="3">
        <f>VLOOKUP('[1]New Data'!A429,'[1]New Data'!A:P,16,0)</f>
        <v>221.85199679999999</v>
      </c>
      <c r="K110" s="3">
        <f>VLOOKUP('[1]New Data'!A429,'[1]New Data'!A:Q,17,0)</f>
        <v>2218.5199680000001</v>
      </c>
      <c r="L110" s="3" t="str">
        <f>VLOOKUP('[1]New Data'!A110,'[1]New Data'!A:S,19,0)</f>
        <v>Electronics</v>
      </c>
      <c r="M110" s="3" t="str">
        <f>VLOOKUP('[1]New Data'!A110,'[1]New Data'!A:T,20,0)</f>
        <v>Television</v>
      </c>
      <c r="N110" s="5">
        <f>VLOOKUP('[1]New Data'!A429,'[1]New Data'!A:Z,25,0)</f>
        <v>5</v>
      </c>
    </row>
    <row r="111" spans="1:14" hidden="1" x14ac:dyDescent="0.35">
      <c r="A111" s="2">
        <v>1089259</v>
      </c>
      <c r="B111" s="2">
        <v>21399</v>
      </c>
      <c r="C111" s="2" t="s">
        <v>127</v>
      </c>
      <c r="D111" s="2" t="s">
        <v>15</v>
      </c>
      <c r="E111" s="3">
        <f>VLOOKUP('[1]New Data'!A48,'[1]New Data'!A:H,8,0)</f>
        <v>57</v>
      </c>
      <c r="F111" s="3" t="str">
        <f>VLOOKUP('[1]New Data'!A48,'[1]New Data'!A:J,10,0)</f>
        <v>Male</v>
      </c>
      <c r="G111" s="3" t="str">
        <f>VLOOKUP('[1]New Data'!A48,'[1]New Data'!A:K,11,0)</f>
        <v>High</v>
      </c>
      <c r="H111" s="4">
        <f>VLOOKUP('[1]New Data'!A48,'[1]New Data'!A:M,13,0)</f>
        <v>45001</v>
      </c>
      <c r="I111" s="5">
        <f>VLOOKUP('[1]New Data'!A48,'[1]New Data'!A:O,15,0)</f>
        <v>7</v>
      </c>
      <c r="J111" s="3">
        <f>VLOOKUP('[1]New Data'!A48,'[1]New Data'!A:P,16,0)</f>
        <v>315.62886709999998</v>
      </c>
      <c r="K111" s="3">
        <f>VLOOKUP('[1]New Data'!A48,'[1]New Data'!A:Q,17,0)</f>
        <v>2209.4020700000001</v>
      </c>
      <c r="L111" s="3" t="str">
        <f>VLOOKUP('[1]New Data'!A111,'[1]New Data'!A:S,19,0)</f>
        <v>Grocery</v>
      </c>
      <c r="M111" s="3" t="str">
        <f>VLOOKUP('[1]New Data'!A111,'[1]New Data'!A:T,20,0)</f>
        <v>Juice</v>
      </c>
      <c r="N111" s="5">
        <f>VLOOKUP('[1]New Data'!A48,'[1]New Data'!A:Z,25,0)</f>
        <v>5</v>
      </c>
    </row>
    <row r="112" spans="1:14" hidden="1" x14ac:dyDescent="0.35">
      <c r="A112" s="2">
        <v>1283620</v>
      </c>
      <c r="B112" s="2">
        <v>82346</v>
      </c>
      <c r="C112" s="2" t="s">
        <v>128</v>
      </c>
      <c r="D112" s="2" t="s">
        <v>15</v>
      </c>
      <c r="E112" s="3">
        <f>VLOOKUP('[1]New Data'!A407,'[1]New Data'!A:H,8,0)</f>
        <v>19</v>
      </c>
      <c r="F112" s="3" t="str">
        <f>VLOOKUP('[1]New Data'!A407,'[1]New Data'!A:J,10,0)</f>
        <v>Male</v>
      </c>
      <c r="G112" s="3" t="str">
        <f>VLOOKUP('[1]New Data'!A407,'[1]New Data'!A:K,11,0)</f>
        <v>Medium</v>
      </c>
      <c r="H112" s="4">
        <f>VLOOKUP('[1]New Data'!A407,'[1]New Data'!A:M,13,0)</f>
        <v>45034</v>
      </c>
      <c r="I112" s="5">
        <f>VLOOKUP('[1]New Data'!A407,'[1]New Data'!A:O,15,0)</f>
        <v>5</v>
      </c>
      <c r="J112" s="3">
        <f>VLOOKUP('[1]New Data'!A407,'[1]New Data'!A:P,16,0)</f>
        <v>440.85121450000003</v>
      </c>
      <c r="K112" s="3">
        <f>VLOOKUP('[1]New Data'!A407,'[1]New Data'!A:Q,17,0)</f>
        <v>2204.256073</v>
      </c>
      <c r="L112" s="3" t="str">
        <f>VLOOKUP('[1]New Data'!A112,'[1]New Data'!A:S,19,0)</f>
        <v>Electronics</v>
      </c>
      <c r="M112" s="3" t="str">
        <f>VLOOKUP('[1]New Data'!A112,'[1]New Data'!A:T,20,0)</f>
        <v>Television</v>
      </c>
      <c r="N112" s="5">
        <f>VLOOKUP('[1]New Data'!A407,'[1]New Data'!A:Z,25,0)</f>
        <v>4</v>
      </c>
    </row>
    <row r="113" spans="1:14" hidden="1" x14ac:dyDescent="0.35">
      <c r="A113" s="2">
        <v>7433237</v>
      </c>
      <c r="B113" s="2">
        <v>78960</v>
      </c>
      <c r="C113" s="2" t="s">
        <v>129</v>
      </c>
      <c r="D113" s="2" t="s">
        <v>15</v>
      </c>
      <c r="E113" s="3">
        <f>VLOOKUP('[1]New Data'!A153,'[1]New Data'!A:H,8,0)</f>
        <v>57</v>
      </c>
      <c r="F113" s="3" t="str">
        <f>VLOOKUP('[1]New Data'!A153,'[1]New Data'!A:J,10,0)</f>
        <v>Female</v>
      </c>
      <c r="G113" s="3" t="str">
        <f>VLOOKUP('[1]New Data'!A153,'[1]New Data'!A:K,11,0)</f>
        <v>Medium</v>
      </c>
      <c r="H113" s="4">
        <f>VLOOKUP('[1]New Data'!A153,'[1]New Data'!A:M,13,0)</f>
        <v>45076</v>
      </c>
      <c r="I113" s="5">
        <f>VLOOKUP('[1]New Data'!A153,'[1]New Data'!A:O,15,0)</f>
        <v>5</v>
      </c>
      <c r="J113" s="3">
        <f>VLOOKUP('[1]New Data'!A153,'[1]New Data'!A:P,16,0)</f>
        <v>435.26270460000001</v>
      </c>
      <c r="K113" s="3">
        <f>VLOOKUP('[1]New Data'!A153,'[1]New Data'!A:Q,17,0)</f>
        <v>2176.3135229999998</v>
      </c>
      <c r="L113" s="3" t="str">
        <f>VLOOKUP('[1]New Data'!A113,'[1]New Data'!A:S,19,0)</f>
        <v>Books</v>
      </c>
      <c r="M113" s="3" t="str">
        <f>VLOOKUP('[1]New Data'!A113,'[1]New Data'!A:T,20,0)</f>
        <v>Non-Fiction</v>
      </c>
      <c r="N113" s="5">
        <f>VLOOKUP('[1]New Data'!A153,'[1]New Data'!A:Z,25,0)</f>
        <v>4</v>
      </c>
    </row>
    <row r="114" spans="1:14" hidden="1" x14ac:dyDescent="0.35">
      <c r="A114" s="2">
        <v>4435221</v>
      </c>
      <c r="B114" s="2">
        <v>73668</v>
      </c>
      <c r="C114" s="2" t="s">
        <v>130</v>
      </c>
      <c r="D114" s="2" t="s">
        <v>15</v>
      </c>
      <c r="E114" s="3">
        <f>VLOOKUP('[1]New Data'!A156,'[1]New Data'!A:H,8,0)</f>
        <v>18</v>
      </c>
      <c r="F114" s="3" t="str">
        <f>VLOOKUP('[1]New Data'!A156,'[1]New Data'!A:J,10,0)</f>
        <v>Male</v>
      </c>
      <c r="G114" s="3" t="str">
        <f>VLOOKUP('[1]New Data'!A156,'[1]New Data'!A:K,11,0)</f>
        <v>Low</v>
      </c>
      <c r="H114" s="4">
        <f>VLOOKUP('[1]New Data'!A156,'[1]New Data'!A:M,13,0)</f>
        <v>45063</v>
      </c>
      <c r="I114" s="5">
        <f>VLOOKUP('[1]New Data'!A156,'[1]New Data'!A:O,15,0)</f>
        <v>5</v>
      </c>
      <c r="J114" s="3">
        <f>VLOOKUP('[1]New Data'!A156,'[1]New Data'!A:P,16,0)</f>
        <v>435.10538000000003</v>
      </c>
      <c r="K114" s="3">
        <f>VLOOKUP('[1]New Data'!A156,'[1]New Data'!A:Q,17,0)</f>
        <v>2175.5268999999998</v>
      </c>
      <c r="L114" s="3" t="str">
        <f>VLOOKUP('[1]New Data'!A114,'[1]New Data'!A:S,19,0)</f>
        <v>Electronics</v>
      </c>
      <c r="M114" s="3" t="str">
        <f>VLOOKUP('[1]New Data'!A114,'[1]New Data'!A:T,20,0)</f>
        <v>Smartphone</v>
      </c>
      <c r="N114" s="5">
        <f>VLOOKUP('[1]New Data'!A156,'[1]New Data'!A:Z,25,0)</f>
        <v>4</v>
      </c>
    </row>
    <row r="115" spans="1:14" hidden="1" x14ac:dyDescent="0.35">
      <c r="A115" s="2">
        <v>6025565</v>
      </c>
      <c r="B115" s="2">
        <v>28353</v>
      </c>
      <c r="C115" s="2" t="s">
        <v>131</v>
      </c>
      <c r="D115" s="2" t="s">
        <v>15</v>
      </c>
      <c r="E115" s="3">
        <f>VLOOKUP('[1]New Data'!A475,'[1]New Data'!A:H,8,0)</f>
        <v>47</v>
      </c>
      <c r="F115" s="3" t="str">
        <f>VLOOKUP('[1]New Data'!A475,'[1]New Data'!A:J,10,0)</f>
        <v>Female</v>
      </c>
      <c r="G115" s="3" t="str">
        <f>VLOOKUP('[1]New Data'!A475,'[1]New Data'!A:K,11,0)</f>
        <v>Low</v>
      </c>
      <c r="H115" s="4">
        <f>VLOOKUP('[1]New Data'!A475,'[1]New Data'!A:M,13,0)</f>
        <v>45142</v>
      </c>
      <c r="I115" s="5">
        <f>VLOOKUP('[1]New Data'!A475,'[1]New Data'!A:O,15,0)</f>
        <v>5</v>
      </c>
      <c r="J115" s="3">
        <f>VLOOKUP('[1]New Data'!A475,'[1]New Data'!A:P,16,0)</f>
        <v>432.78808190000001</v>
      </c>
      <c r="K115" s="3">
        <f>VLOOKUP('[1]New Data'!A475,'[1]New Data'!A:Q,17,0)</f>
        <v>2163.9404100000002</v>
      </c>
      <c r="L115" s="3" t="str">
        <f>VLOOKUP('[1]New Data'!A115,'[1]New Data'!A:S,19,0)</f>
        <v>Clothing</v>
      </c>
      <c r="M115" s="3" t="str">
        <f>VLOOKUP('[1]New Data'!A115,'[1]New Data'!A:T,20,0)</f>
        <v>T-shirt</v>
      </c>
      <c r="N115" s="5">
        <f>VLOOKUP('[1]New Data'!A475,'[1]New Data'!A:Z,25,0)</f>
        <v>4</v>
      </c>
    </row>
    <row r="116" spans="1:14" hidden="1" x14ac:dyDescent="0.35">
      <c r="A116" s="2">
        <v>5090778</v>
      </c>
      <c r="B116" s="2">
        <v>88539</v>
      </c>
      <c r="C116" s="2" t="s">
        <v>132</v>
      </c>
      <c r="D116" s="2" t="s">
        <v>15</v>
      </c>
      <c r="E116" s="3">
        <f>VLOOKUP('[1]New Data'!A187,'[1]New Data'!A:H,8,0)</f>
        <v>35</v>
      </c>
      <c r="F116" s="3" t="str">
        <f>VLOOKUP('[1]New Data'!A187,'[1]New Data'!A:J,10,0)</f>
        <v>Male</v>
      </c>
      <c r="G116" s="3" t="str">
        <f>VLOOKUP('[1]New Data'!A187,'[1]New Data'!A:K,11,0)</f>
        <v>Low</v>
      </c>
      <c r="H116" s="4">
        <f>VLOOKUP('[1]New Data'!A187,'[1]New Data'!A:M,13,0)</f>
        <v>45204</v>
      </c>
      <c r="I116" s="5">
        <f>VLOOKUP('[1]New Data'!A187,'[1]New Data'!A:O,15,0)</f>
        <v>6</v>
      </c>
      <c r="J116" s="3">
        <f>VLOOKUP('[1]New Data'!A187,'[1]New Data'!A:P,16,0)</f>
        <v>357.98491619999999</v>
      </c>
      <c r="K116" s="3">
        <f>VLOOKUP('[1]New Data'!A187,'[1]New Data'!A:Q,17,0)</f>
        <v>2147.9094970000001</v>
      </c>
      <c r="L116" s="3" t="str">
        <f>VLOOKUP('[1]New Data'!A116,'[1]New Data'!A:S,19,0)</f>
        <v>Grocery</v>
      </c>
      <c r="M116" s="3" t="str">
        <f>VLOOKUP('[1]New Data'!A116,'[1]New Data'!A:T,20,0)</f>
        <v>Juice</v>
      </c>
      <c r="N116" s="5">
        <f>VLOOKUP('[1]New Data'!A187,'[1]New Data'!A:Z,25,0)</f>
        <v>2</v>
      </c>
    </row>
    <row r="117" spans="1:14" hidden="1" x14ac:dyDescent="0.35">
      <c r="A117" s="2">
        <v>2691054</v>
      </c>
      <c r="B117" s="2">
        <v>51655</v>
      </c>
      <c r="C117" s="2" t="s">
        <v>133</v>
      </c>
      <c r="D117" s="2" t="s">
        <v>15</v>
      </c>
      <c r="E117" s="3">
        <f>VLOOKUP('[1]New Data'!A452,'[1]New Data'!A:H,8,0)</f>
        <v>64</v>
      </c>
      <c r="F117" s="3" t="str">
        <f>VLOOKUP('[1]New Data'!A452,'[1]New Data'!A:J,10,0)</f>
        <v>Female</v>
      </c>
      <c r="G117" s="3" t="str">
        <f>VLOOKUP('[1]New Data'!A452,'[1]New Data'!A:K,11,0)</f>
        <v>Medium</v>
      </c>
      <c r="H117" s="4">
        <f>VLOOKUP('[1]New Data'!A452,'[1]New Data'!A:M,13,0)</f>
        <v>45220</v>
      </c>
      <c r="I117" s="5">
        <f>VLOOKUP('[1]New Data'!A452,'[1]New Data'!A:O,15,0)</f>
        <v>6</v>
      </c>
      <c r="J117" s="3">
        <f>VLOOKUP('[1]New Data'!A452,'[1]New Data'!A:P,16,0)</f>
        <v>357.67239219999999</v>
      </c>
      <c r="K117" s="3">
        <f>VLOOKUP('[1]New Data'!A452,'[1]New Data'!A:Q,17,0)</f>
        <v>2146.034353</v>
      </c>
      <c r="L117" s="3" t="str">
        <f>VLOOKUP('[1]New Data'!A117,'[1]New Data'!A:S,19,0)</f>
        <v>Electronics</v>
      </c>
      <c r="M117" s="3" t="str">
        <f>VLOOKUP('[1]New Data'!A117,'[1]New Data'!A:T,20,0)</f>
        <v>Smartphone</v>
      </c>
      <c r="N117" s="5">
        <f>VLOOKUP('[1]New Data'!A452,'[1]New Data'!A:Z,25,0)</f>
        <v>1</v>
      </c>
    </row>
    <row r="118" spans="1:14" hidden="1" x14ac:dyDescent="0.35">
      <c r="A118" s="2">
        <v>6908483</v>
      </c>
      <c r="B118" s="2">
        <v>44073</v>
      </c>
      <c r="C118" s="2" t="s">
        <v>134</v>
      </c>
      <c r="D118" s="2" t="s">
        <v>15</v>
      </c>
      <c r="E118" s="3">
        <f>VLOOKUP('[1]New Data'!A158,'[1]New Data'!A:H,8,0)</f>
        <v>70</v>
      </c>
      <c r="F118" s="3" t="str">
        <f>VLOOKUP('[1]New Data'!A158,'[1]New Data'!A:J,10,0)</f>
        <v>Female</v>
      </c>
      <c r="G118" s="3" t="str">
        <f>VLOOKUP('[1]New Data'!A158,'[1]New Data'!A:K,11,0)</f>
        <v>Medium</v>
      </c>
      <c r="H118" s="4">
        <f>VLOOKUP('[1]New Data'!A158,'[1]New Data'!A:M,13,0)</f>
        <v>45012</v>
      </c>
      <c r="I118" s="5">
        <f>VLOOKUP('[1]New Data'!A158,'[1]New Data'!A:O,15,0)</f>
        <v>8</v>
      </c>
      <c r="J118" s="3">
        <f>VLOOKUP('[1]New Data'!A158,'[1]New Data'!A:P,16,0)</f>
        <v>267.80206620000001</v>
      </c>
      <c r="K118" s="3">
        <f>VLOOKUP('[1]New Data'!A158,'[1]New Data'!A:Q,17,0)</f>
        <v>2142.41653</v>
      </c>
      <c r="L118" s="3" t="str">
        <f>VLOOKUP('[1]New Data'!A118,'[1]New Data'!A:S,19,0)</f>
        <v>Grocery</v>
      </c>
      <c r="M118" s="3" t="str">
        <f>VLOOKUP('[1]New Data'!A118,'[1]New Data'!A:T,20,0)</f>
        <v>Soft Drink</v>
      </c>
      <c r="N118" s="5">
        <f>VLOOKUP('[1]New Data'!A158,'[1]New Data'!A:Z,25,0)</f>
        <v>1</v>
      </c>
    </row>
    <row r="119" spans="1:14" x14ac:dyDescent="0.35">
      <c r="A119" s="2">
        <v>2060840</v>
      </c>
      <c r="B119" s="2">
        <v>28588</v>
      </c>
      <c r="C119" s="2" t="s">
        <v>135</v>
      </c>
      <c r="D119" s="2" t="s">
        <v>15</v>
      </c>
      <c r="E119" s="3">
        <f>VLOOKUP('[1]New Data'!A257,'[1]New Data'!A:H,8,0)</f>
        <v>47</v>
      </c>
      <c r="F119" s="3" t="str">
        <f>VLOOKUP('[1]New Data'!A257,'[1]New Data'!A:J,10,0)</f>
        <v>Male</v>
      </c>
      <c r="G119" s="3" t="str">
        <f>VLOOKUP('[1]New Data'!A257,'[1]New Data'!A:K,11,0)</f>
        <v>Low</v>
      </c>
      <c r="H119" s="4">
        <f>VLOOKUP('[1]New Data'!A257,'[1]New Data'!A:M,13,0)</f>
        <v>45163</v>
      </c>
      <c r="I119" s="5">
        <f>VLOOKUP('[1]New Data'!A257,'[1]New Data'!A:O,15,0)</f>
        <v>7</v>
      </c>
      <c r="J119" s="3">
        <f>VLOOKUP('[1]New Data'!A257,'[1]New Data'!A:P,16,0)</f>
        <v>304.87019700000002</v>
      </c>
      <c r="K119" s="3">
        <f>VLOOKUP('[1]New Data'!A257,'[1]New Data'!A:Q,17,0)</f>
        <v>2134.091379</v>
      </c>
      <c r="L119" s="3" t="str">
        <f>VLOOKUP('[1]New Data'!A119,'[1]New Data'!A:S,19,0)</f>
        <v>Home Decor</v>
      </c>
      <c r="M119" s="3" t="str">
        <f>VLOOKUP('[1]New Data'!A119,'[1]New Data'!A:T,20,0)</f>
        <v>Lighting</v>
      </c>
      <c r="N119" s="5">
        <f>VLOOKUP('[1]New Data'!A257,'[1]New Data'!A:Z,25,0)</f>
        <v>3</v>
      </c>
    </row>
    <row r="120" spans="1:14" hidden="1" x14ac:dyDescent="0.35">
      <c r="A120" s="2">
        <v>6925817</v>
      </c>
      <c r="B120" s="2">
        <v>85291</v>
      </c>
      <c r="C120" s="2" t="s">
        <v>136</v>
      </c>
      <c r="D120" s="2" t="s">
        <v>15</v>
      </c>
      <c r="E120" s="3">
        <f>VLOOKUP('[1]New Data'!A308,'[1]New Data'!A:H,8,0)</f>
        <v>23</v>
      </c>
      <c r="F120" s="3" t="str">
        <f>VLOOKUP('[1]New Data'!A308,'[1]New Data'!A:J,10,0)</f>
        <v>Female</v>
      </c>
      <c r="G120" s="3" t="str">
        <f>VLOOKUP('[1]New Data'!A308,'[1]New Data'!A:K,11,0)</f>
        <v>Low</v>
      </c>
      <c r="H120" s="4">
        <f>VLOOKUP('[1]New Data'!A308,'[1]New Data'!A:M,13,0)</f>
        <v>45217</v>
      </c>
      <c r="I120" s="5">
        <f>VLOOKUP('[1]New Data'!A308,'[1]New Data'!A:O,15,0)</f>
        <v>6</v>
      </c>
      <c r="J120" s="3">
        <f>VLOOKUP('[1]New Data'!A308,'[1]New Data'!A:P,16,0)</f>
        <v>348.00310869999998</v>
      </c>
      <c r="K120" s="3">
        <f>VLOOKUP('[1]New Data'!A308,'[1]New Data'!A:Q,17,0)</f>
        <v>2088.0186520000002</v>
      </c>
      <c r="L120" s="3" t="str">
        <f>VLOOKUP('[1]New Data'!A120,'[1]New Data'!A:S,19,0)</f>
        <v>Electronics</v>
      </c>
      <c r="M120" s="3" t="str">
        <f>VLOOKUP('[1]New Data'!A120,'[1]New Data'!A:T,20,0)</f>
        <v>Laptop</v>
      </c>
      <c r="N120" s="5">
        <f>VLOOKUP('[1]New Data'!A308,'[1]New Data'!A:Z,25,0)</f>
        <v>4</v>
      </c>
    </row>
    <row r="121" spans="1:14" hidden="1" x14ac:dyDescent="0.35">
      <c r="A121" s="2">
        <v>3338656</v>
      </c>
      <c r="B121" s="2">
        <v>21397</v>
      </c>
      <c r="C121" s="2" t="s">
        <v>137</v>
      </c>
      <c r="D121" s="2" t="s">
        <v>15</v>
      </c>
      <c r="E121" s="3">
        <f>VLOOKUP('[1]New Data'!A478,'[1]New Data'!A:H,8,0)</f>
        <v>47</v>
      </c>
      <c r="F121" s="3" t="str">
        <f>VLOOKUP('[1]New Data'!A478,'[1]New Data'!A:J,10,0)</f>
        <v>Female</v>
      </c>
      <c r="G121" s="3" t="str">
        <f>VLOOKUP('[1]New Data'!A478,'[1]New Data'!A:K,11,0)</f>
        <v>Medium</v>
      </c>
      <c r="H121" s="4">
        <f>VLOOKUP('[1]New Data'!A478,'[1]New Data'!A:M,13,0)</f>
        <v>45322</v>
      </c>
      <c r="I121" s="5">
        <f>VLOOKUP('[1]New Data'!A478,'[1]New Data'!A:O,15,0)</f>
        <v>10</v>
      </c>
      <c r="J121" s="3">
        <f>VLOOKUP('[1]New Data'!A478,'[1]New Data'!A:P,16,0)</f>
        <v>207.9377672</v>
      </c>
      <c r="K121" s="3">
        <f>VLOOKUP('[1]New Data'!A478,'[1]New Data'!A:Q,17,0)</f>
        <v>2079.3776720000001</v>
      </c>
      <c r="L121" s="3" t="str">
        <f>VLOOKUP('[1]New Data'!A121,'[1]New Data'!A:S,19,0)</f>
        <v>Electronics</v>
      </c>
      <c r="M121" s="3" t="str">
        <f>VLOOKUP('[1]New Data'!A121,'[1]New Data'!A:T,20,0)</f>
        <v>Laptop</v>
      </c>
      <c r="N121" s="5">
        <f>VLOOKUP('[1]New Data'!A478,'[1]New Data'!A:Z,25,0)</f>
        <v>2</v>
      </c>
    </row>
    <row r="122" spans="1:14" hidden="1" x14ac:dyDescent="0.35">
      <c r="A122" s="2">
        <v>7775388</v>
      </c>
      <c r="B122" s="2">
        <v>91698</v>
      </c>
      <c r="C122" s="2" t="s">
        <v>138</v>
      </c>
      <c r="D122" s="2" t="s">
        <v>15</v>
      </c>
      <c r="E122" s="3">
        <f>VLOOKUP('[1]New Data'!A313,'[1]New Data'!A:H,8,0)</f>
        <v>58</v>
      </c>
      <c r="F122" s="3" t="str">
        <f>VLOOKUP('[1]New Data'!A313,'[1]New Data'!A:J,10,0)</f>
        <v>Female</v>
      </c>
      <c r="G122" s="3" t="str">
        <f>VLOOKUP('[1]New Data'!A313,'[1]New Data'!A:K,11,0)</f>
        <v>Low</v>
      </c>
      <c r="H122" s="4">
        <f>VLOOKUP('[1]New Data'!A313,'[1]New Data'!A:M,13,0)</f>
        <v>45350</v>
      </c>
      <c r="I122" s="5">
        <f>VLOOKUP('[1]New Data'!A313,'[1]New Data'!A:O,15,0)</f>
        <v>5</v>
      </c>
      <c r="J122" s="3">
        <f>VLOOKUP('[1]New Data'!A313,'[1]New Data'!A:P,16,0)</f>
        <v>411.43555429999998</v>
      </c>
      <c r="K122" s="3">
        <f>VLOOKUP('[1]New Data'!A313,'[1]New Data'!A:Q,17,0)</f>
        <v>2057.1777710000001</v>
      </c>
      <c r="L122" s="3" t="str">
        <f>VLOOKUP('[1]New Data'!A122,'[1]New Data'!A:S,19,0)</f>
        <v>Grocery</v>
      </c>
      <c r="M122" s="3" t="str">
        <f>VLOOKUP('[1]New Data'!A122,'[1]New Data'!A:T,20,0)</f>
        <v>Chocolate</v>
      </c>
      <c r="N122" s="5">
        <f>VLOOKUP('[1]New Data'!A313,'[1]New Data'!A:Z,25,0)</f>
        <v>1</v>
      </c>
    </row>
    <row r="123" spans="1:14" hidden="1" x14ac:dyDescent="0.35">
      <c r="A123" s="2">
        <v>5820774</v>
      </c>
      <c r="B123" s="2">
        <v>46908</v>
      </c>
      <c r="C123" s="2" t="s">
        <v>139</v>
      </c>
      <c r="D123" s="2" t="s">
        <v>15</v>
      </c>
      <c r="E123" s="3">
        <f>VLOOKUP('[1]New Data'!A151,'[1]New Data'!A:H,8,0)</f>
        <v>54</v>
      </c>
      <c r="F123" s="3" t="str">
        <f>VLOOKUP('[1]New Data'!A151,'[1]New Data'!A:J,10,0)</f>
        <v>Male</v>
      </c>
      <c r="G123" s="3" t="str">
        <f>VLOOKUP('[1]New Data'!A151,'[1]New Data'!A:K,11,0)</f>
        <v>Medium</v>
      </c>
      <c r="H123" s="4">
        <f>VLOOKUP('[1]New Data'!A151,'[1]New Data'!A:M,13,0)</f>
        <v>45213</v>
      </c>
      <c r="I123" s="5">
        <f>VLOOKUP('[1]New Data'!A151,'[1]New Data'!A:O,15,0)</f>
        <v>5</v>
      </c>
      <c r="J123" s="3">
        <f>VLOOKUP('[1]New Data'!A151,'[1]New Data'!A:P,16,0)</f>
        <v>402.11543949999998</v>
      </c>
      <c r="K123" s="3">
        <f>VLOOKUP('[1]New Data'!A151,'[1]New Data'!A:Q,17,0)</f>
        <v>2010.577198</v>
      </c>
      <c r="L123" s="3" t="str">
        <f>VLOOKUP('[1]New Data'!A123,'[1]New Data'!A:S,19,0)</f>
        <v>Grocery</v>
      </c>
      <c r="M123" s="3" t="str">
        <f>VLOOKUP('[1]New Data'!A123,'[1]New Data'!A:T,20,0)</f>
        <v>Snacks</v>
      </c>
      <c r="N123" s="5">
        <f>VLOOKUP('[1]New Data'!A151,'[1]New Data'!A:Z,25,0)</f>
        <v>4</v>
      </c>
    </row>
    <row r="124" spans="1:14" hidden="1" x14ac:dyDescent="0.35">
      <c r="A124" s="2">
        <v>3902930</v>
      </c>
      <c r="B124" s="2">
        <v>77572</v>
      </c>
      <c r="C124" s="2" t="s">
        <v>140</v>
      </c>
      <c r="D124" s="2" t="s">
        <v>15</v>
      </c>
      <c r="E124" s="3">
        <f>VLOOKUP('[1]New Data'!A44,'[1]New Data'!A:H,8,0)</f>
        <v>68</v>
      </c>
      <c r="F124" s="3" t="str">
        <f>VLOOKUP('[1]New Data'!A44,'[1]New Data'!A:J,10,0)</f>
        <v>Female</v>
      </c>
      <c r="G124" s="3" t="str">
        <f>VLOOKUP('[1]New Data'!A44,'[1]New Data'!A:K,11,0)</f>
        <v>High</v>
      </c>
      <c r="H124" s="4">
        <f>VLOOKUP('[1]New Data'!A44,'[1]New Data'!A:M,13,0)</f>
        <v>45205</v>
      </c>
      <c r="I124" s="5">
        <f>VLOOKUP('[1]New Data'!A44,'[1]New Data'!A:O,15,0)</f>
        <v>6</v>
      </c>
      <c r="J124" s="3">
        <f>VLOOKUP('[1]New Data'!A44,'[1]New Data'!A:P,16,0)</f>
        <v>334.16569829999997</v>
      </c>
      <c r="K124" s="3">
        <f>VLOOKUP('[1]New Data'!A44,'[1]New Data'!A:Q,17,0)</f>
        <v>2004.9941899999999</v>
      </c>
      <c r="L124" s="3" t="str">
        <f>VLOOKUP('[1]New Data'!A124,'[1]New Data'!A:S,19,0)</f>
        <v>Grocery</v>
      </c>
      <c r="M124" s="3" t="str">
        <f>VLOOKUP('[1]New Data'!A124,'[1]New Data'!A:T,20,0)</f>
        <v>Juice</v>
      </c>
      <c r="N124" s="5">
        <f>VLOOKUP('[1]New Data'!A44,'[1]New Data'!A:Z,25,0)</f>
        <v>1</v>
      </c>
    </row>
    <row r="125" spans="1:14" hidden="1" x14ac:dyDescent="0.35">
      <c r="A125" s="2">
        <v>8991228</v>
      </c>
      <c r="B125" s="2">
        <v>42624</v>
      </c>
      <c r="C125" s="2" t="s">
        <v>141</v>
      </c>
      <c r="D125" s="2" t="s">
        <v>15</v>
      </c>
      <c r="E125" s="3">
        <f>VLOOKUP('[1]New Data'!A459,'[1]New Data'!A:H,8,0)</f>
        <v>32</v>
      </c>
      <c r="F125" s="3" t="str">
        <f>VLOOKUP('[1]New Data'!A459,'[1]New Data'!A:J,10,0)</f>
        <v>Male</v>
      </c>
      <c r="G125" s="3" t="str">
        <f>VLOOKUP('[1]New Data'!A459,'[1]New Data'!A:K,11,0)</f>
        <v>Low</v>
      </c>
      <c r="H125" s="4">
        <f>VLOOKUP('[1]New Data'!A459,'[1]New Data'!A:M,13,0)</f>
        <v>45140</v>
      </c>
      <c r="I125" s="5">
        <f>VLOOKUP('[1]New Data'!A459,'[1]New Data'!A:O,15,0)</f>
        <v>6</v>
      </c>
      <c r="J125" s="3">
        <f>VLOOKUP('[1]New Data'!A459,'[1]New Data'!A:P,16,0)</f>
        <v>332.42816449999998</v>
      </c>
      <c r="K125" s="3">
        <f>VLOOKUP('[1]New Data'!A459,'[1]New Data'!A:Q,17,0)</f>
        <v>1994.5689870000001</v>
      </c>
      <c r="L125" s="3" t="str">
        <f>VLOOKUP('[1]New Data'!A125,'[1]New Data'!A:S,19,0)</f>
        <v>Clothing</v>
      </c>
      <c r="M125" s="3" t="str">
        <f>VLOOKUP('[1]New Data'!A125,'[1]New Data'!A:T,20,0)</f>
        <v>Jacket</v>
      </c>
      <c r="N125" s="5">
        <f>VLOOKUP('[1]New Data'!A459,'[1]New Data'!A:Z,25,0)</f>
        <v>1</v>
      </c>
    </row>
    <row r="126" spans="1:14" hidden="1" x14ac:dyDescent="0.35">
      <c r="A126" s="2">
        <v>9528651</v>
      </c>
      <c r="B126" s="2">
        <v>70193</v>
      </c>
      <c r="C126" s="2" t="s">
        <v>142</v>
      </c>
      <c r="D126" s="2" t="s">
        <v>15</v>
      </c>
      <c r="E126" s="3">
        <f>VLOOKUP('[1]New Data'!A149,'[1]New Data'!A:H,8,0)</f>
        <v>38</v>
      </c>
      <c r="F126" s="3" t="str">
        <f>VLOOKUP('[1]New Data'!A149,'[1]New Data'!A:J,10,0)</f>
        <v>Female</v>
      </c>
      <c r="G126" s="3" t="str">
        <f>VLOOKUP('[1]New Data'!A149,'[1]New Data'!A:K,11,0)</f>
        <v>Medium</v>
      </c>
      <c r="H126" s="4">
        <f>VLOOKUP('[1]New Data'!A149,'[1]New Data'!A:M,13,0)</f>
        <v>45175</v>
      </c>
      <c r="I126" s="5">
        <f>VLOOKUP('[1]New Data'!A149,'[1]New Data'!A:O,15,0)</f>
        <v>4</v>
      </c>
      <c r="J126" s="3">
        <f>VLOOKUP('[1]New Data'!A149,'[1]New Data'!A:P,16,0)</f>
        <v>491.17579999999998</v>
      </c>
      <c r="K126" s="3">
        <f>VLOOKUP('[1]New Data'!A149,'[1]New Data'!A:Q,17,0)</f>
        <v>1964.7031999999999</v>
      </c>
      <c r="L126" s="3" t="str">
        <f>VLOOKUP('[1]New Data'!A126,'[1]New Data'!A:S,19,0)</f>
        <v>Electronics</v>
      </c>
      <c r="M126" s="3" t="str">
        <f>VLOOKUP('[1]New Data'!A126,'[1]New Data'!A:T,20,0)</f>
        <v>Television</v>
      </c>
      <c r="N126" s="5">
        <f>VLOOKUP('[1]New Data'!A149,'[1]New Data'!A:Z,25,0)</f>
        <v>2</v>
      </c>
    </row>
    <row r="127" spans="1:14" x14ac:dyDescent="0.35">
      <c r="A127" s="2">
        <v>1823051</v>
      </c>
      <c r="B127" s="2">
        <v>48512</v>
      </c>
      <c r="C127" s="2" t="s">
        <v>143</v>
      </c>
      <c r="D127" s="2" t="s">
        <v>15</v>
      </c>
      <c r="E127" s="3">
        <f>VLOOKUP('[1]New Data'!A186,'[1]New Data'!A:H,8,0)</f>
        <v>62</v>
      </c>
      <c r="F127" s="3" t="str">
        <f>VLOOKUP('[1]New Data'!A186,'[1]New Data'!A:J,10,0)</f>
        <v>Female</v>
      </c>
      <c r="G127" s="3" t="str">
        <f>VLOOKUP('[1]New Data'!A186,'[1]New Data'!A:K,11,0)</f>
        <v>Low</v>
      </c>
      <c r="H127" s="4">
        <f>VLOOKUP('[1]New Data'!A186,'[1]New Data'!A:M,13,0)</f>
        <v>45175</v>
      </c>
      <c r="I127" s="5">
        <f>VLOOKUP('[1]New Data'!A186,'[1]New Data'!A:O,15,0)</f>
        <v>4</v>
      </c>
      <c r="J127" s="3">
        <f>VLOOKUP('[1]New Data'!A186,'[1]New Data'!A:P,16,0)</f>
        <v>488.02867379999998</v>
      </c>
      <c r="K127" s="3">
        <f>VLOOKUP('[1]New Data'!A186,'[1]New Data'!A:Q,17,0)</f>
        <v>1952.114695</v>
      </c>
      <c r="L127" s="3" t="str">
        <f>VLOOKUP('[1]New Data'!A127,'[1]New Data'!A:S,19,0)</f>
        <v>Home Decor</v>
      </c>
      <c r="M127" s="3" t="str">
        <f>VLOOKUP('[1]New Data'!A127,'[1]New Data'!A:T,20,0)</f>
        <v>Furniture</v>
      </c>
      <c r="N127" s="5">
        <f>VLOOKUP('[1]New Data'!A186,'[1]New Data'!A:Z,25,0)</f>
        <v>4</v>
      </c>
    </row>
    <row r="128" spans="1:14" hidden="1" x14ac:dyDescent="0.35">
      <c r="A128" s="2">
        <v>6471367</v>
      </c>
      <c r="B128" s="2">
        <v>13265</v>
      </c>
      <c r="C128" s="2" t="s">
        <v>144</v>
      </c>
      <c r="D128" s="2" t="s">
        <v>15</v>
      </c>
      <c r="E128" s="3">
        <f>VLOOKUP('[1]New Data'!A247,'[1]New Data'!A:H,8,0)</f>
        <v>40</v>
      </c>
      <c r="F128" s="3" t="str">
        <f>VLOOKUP('[1]New Data'!A247,'[1]New Data'!A:J,10,0)</f>
        <v>Female</v>
      </c>
      <c r="G128" s="3" t="str">
        <f>VLOOKUP('[1]New Data'!A247,'[1]New Data'!A:K,11,0)</f>
        <v>Medium</v>
      </c>
      <c r="H128" s="4">
        <f>VLOOKUP('[1]New Data'!A247,'[1]New Data'!A:M,13,0)</f>
        <v>45189</v>
      </c>
      <c r="I128" s="5">
        <f>VLOOKUP('[1]New Data'!A247,'[1]New Data'!A:O,15,0)</f>
        <v>10</v>
      </c>
      <c r="J128" s="3">
        <f>VLOOKUP('[1]New Data'!A247,'[1]New Data'!A:P,16,0)</f>
        <v>192.7124359</v>
      </c>
      <c r="K128" s="3">
        <f>VLOOKUP('[1]New Data'!A247,'[1]New Data'!A:Q,17,0)</f>
        <v>1927.1243589999999</v>
      </c>
      <c r="L128" s="3" t="str">
        <f>VLOOKUP('[1]New Data'!A128,'[1]New Data'!A:S,19,0)</f>
        <v>Books</v>
      </c>
      <c r="M128" s="3" t="str">
        <f>VLOOKUP('[1]New Data'!A128,'[1]New Data'!A:T,20,0)</f>
        <v>Literature</v>
      </c>
      <c r="N128" s="5">
        <f>VLOOKUP('[1]New Data'!A247,'[1]New Data'!A:Z,25,0)</f>
        <v>4</v>
      </c>
    </row>
    <row r="129" spans="1:14" x14ac:dyDescent="0.35">
      <c r="A129" s="2">
        <v>3143821</v>
      </c>
      <c r="B129" s="2">
        <v>64636</v>
      </c>
      <c r="C129" s="2" t="s">
        <v>145</v>
      </c>
      <c r="D129" s="2" t="s">
        <v>15</v>
      </c>
      <c r="E129" s="3">
        <f>VLOOKUP('[1]New Data'!A376,'[1]New Data'!A:H,8,0)</f>
        <v>41</v>
      </c>
      <c r="F129" s="3" t="str">
        <f>VLOOKUP('[1]New Data'!A376,'[1]New Data'!A:J,10,0)</f>
        <v>Male</v>
      </c>
      <c r="G129" s="3" t="str">
        <f>VLOOKUP('[1]New Data'!A376,'[1]New Data'!A:K,11,0)</f>
        <v>High</v>
      </c>
      <c r="H129" s="4">
        <f>VLOOKUP('[1]New Data'!A376,'[1]New Data'!A:M,13,0)</f>
        <v>45317</v>
      </c>
      <c r="I129" s="5">
        <f>VLOOKUP('[1]New Data'!A376,'[1]New Data'!A:O,15,0)</f>
        <v>8</v>
      </c>
      <c r="J129" s="3">
        <f>VLOOKUP('[1]New Data'!A376,'[1]New Data'!A:P,16,0)</f>
        <v>240.4722572</v>
      </c>
      <c r="K129" s="3">
        <f>VLOOKUP('[1]New Data'!A376,'[1]New Data'!A:Q,17,0)</f>
        <v>1923.7780580000001</v>
      </c>
      <c r="L129" s="3" t="str">
        <f>VLOOKUP('[1]New Data'!A129,'[1]New Data'!A:S,19,0)</f>
        <v>Home Decor</v>
      </c>
      <c r="M129" s="3" t="str">
        <f>VLOOKUP('[1]New Data'!A129,'[1]New Data'!A:T,20,0)</f>
        <v>Decorations</v>
      </c>
      <c r="N129" s="5">
        <f>VLOOKUP('[1]New Data'!A376,'[1]New Data'!A:Z,25,0)</f>
        <v>2</v>
      </c>
    </row>
    <row r="130" spans="1:14" hidden="1" x14ac:dyDescent="0.35">
      <c r="A130" s="2">
        <v>7379891</v>
      </c>
      <c r="B130" s="2">
        <v>47846</v>
      </c>
      <c r="C130" s="2" t="s">
        <v>146</v>
      </c>
      <c r="D130" s="2" t="s">
        <v>15</v>
      </c>
      <c r="E130" s="3">
        <f>VLOOKUP('[1]New Data'!A111,'[1]New Data'!A:H,8,0)</f>
        <v>65</v>
      </c>
      <c r="F130" s="3" t="str">
        <f>VLOOKUP('[1]New Data'!A111,'[1]New Data'!A:J,10,0)</f>
        <v>Male</v>
      </c>
      <c r="G130" s="3" t="str">
        <f>VLOOKUP('[1]New Data'!A111,'[1]New Data'!A:K,11,0)</f>
        <v>Low</v>
      </c>
      <c r="H130" s="4">
        <f>VLOOKUP('[1]New Data'!A111,'[1]New Data'!A:M,13,0)</f>
        <v>45101</v>
      </c>
      <c r="I130" s="5">
        <f>VLOOKUP('[1]New Data'!A111,'[1]New Data'!A:O,15,0)</f>
        <v>4</v>
      </c>
      <c r="J130" s="3">
        <f>VLOOKUP('[1]New Data'!A111,'[1]New Data'!A:P,16,0)</f>
        <v>478.10916200000003</v>
      </c>
      <c r="K130" s="3">
        <f>VLOOKUP('[1]New Data'!A111,'[1]New Data'!A:Q,17,0)</f>
        <v>1912.4366480000001</v>
      </c>
      <c r="L130" s="3" t="str">
        <f>VLOOKUP('[1]New Data'!A130,'[1]New Data'!A:S,19,0)</f>
        <v>Clothing</v>
      </c>
      <c r="M130" s="3" t="str">
        <f>VLOOKUP('[1]New Data'!A130,'[1]New Data'!A:T,20,0)</f>
        <v>T-shirt</v>
      </c>
      <c r="N130" s="5">
        <f>VLOOKUP('[1]New Data'!A111,'[1]New Data'!A:Z,25,0)</f>
        <v>0</v>
      </c>
    </row>
    <row r="131" spans="1:14" hidden="1" x14ac:dyDescent="0.35">
      <c r="A131" s="2">
        <v>6236187</v>
      </c>
      <c r="B131" s="2">
        <v>82677</v>
      </c>
      <c r="C131" s="2" t="s">
        <v>147</v>
      </c>
      <c r="D131" s="2" t="s">
        <v>15</v>
      </c>
      <c r="E131" s="3">
        <f>VLOOKUP('[1]New Data'!A481,'[1]New Data'!A:H,8,0)</f>
        <v>44</v>
      </c>
      <c r="F131" s="3" t="str">
        <f>VLOOKUP('[1]New Data'!A481,'[1]New Data'!A:J,10,0)</f>
        <v>Male</v>
      </c>
      <c r="G131" s="3" t="str">
        <f>VLOOKUP('[1]New Data'!A481,'[1]New Data'!A:K,11,0)</f>
        <v>High</v>
      </c>
      <c r="H131" s="4">
        <f>VLOOKUP('[1]New Data'!A481,'[1]New Data'!A:M,13,0)</f>
        <v>45008</v>
      </c>
      <c r="I131" s="5">
        <f>VLOOKUP('[1]New Data'!A481,'[1]New Data'!A:O,15,0)</f>
        <v>5</v>
      </c>
      <c r="J131" s="3">
        <f>VLOOKUP('[1]New Data'!A481,'[1]New Data'!A:P,16,0)</f>
        <v>377.35926899999998</v>
      </c>
      <c r="K131" s="3">
        <f>VLOOKUP('[1]New Data'!A481,'[1]New Data'!A:Q,17,0)</f>
        <v>1886.796345</v>
      </c>
      <c r="L131" s="3" t="str">
        <f>VLOOKUP('[1]New Data'!A131,'[1]New Data'!A:S,19,0)</f>
        <v>Books</v>
      </c>
      <c r="M131" s="3" t="str">
        <f>VLOOKUP('[1]New Data'!A131,'[1]New Data'!A:T,20,0)</f>
        <v>Children's</v>
      </c>
      <c r="N131" s="5">
        <f>VLOOKUP('[1]New Data'!A481,'[1]New Data'!A:Z,25,0)</f>
        <v>2</v>
      </c>
    </row>
    <row r="132" spans="1:14" hidden="1" x14ac:dyDescent="0.35">
      <c r="A132" s="2">
        <v>1685588</v>
      </c>
      <c r="B132" s="2">
        <v>70655</v>
      </c>
      <c r="C132" s="2" t="s">
        <v>148</v>
      </c>
      <c r="D132" s="2" t="s">
        <v>15</v>
      </c>
      <c r="E132" s="3">
        <f>VLOOKUP('[1]New Data'!A98,'[1]New Data'!A:H,8,0)</f>
        <v>20</v>
      </c>
      <c r="F132" s="3" t="str">
        <f>VLOOKUP('[1]New Data'!A98,'[1]New Data'!A:J,10,0)</f>
        <v>Male</v>
      </c>
      <c r="G132" s="3" t="str">
        <f>VLOOKUP('[1]New Data'!A98,'[1]New Data'!A:K,11,0)</f>
        <v>Medium</v>
      </c>
      <c r="H132" s="4">
        <f>VLOOKUP('[1]New Data'!A98,'[1]New Data'!A:M,13,0)</f>
        <v>45163</v>
      </c>
      <c r="I132" s="5">
        <f>VLOOKUP('[1]New Data'!A98,'[1]New Data'!A:O,15,0)</f>
        <v>4</v>
      </c>
      <c r="J132" s="3">
        <f>VLOOKUP('[1]New Data'!A98,'[1]New Data'!A:P,16,0)</f>
        <v>466.22066000000001</v>
      </c>
      <c r="K132" s="3">
        <f>VLOOKUP('[1]New Data'!A98,'[1]New Data'!A:Q,17,0)</f>
        <v>1864.88264</v>
      </c>
      <c r="L132" s="3" t="str">
        <f>VLOOKUP('[1]New Data'!A132,'[1]New Data'!A:S,19,0)</f>
        <v>Grocery</v>
      </c>
      <c r="M132" s="3" t="str">
        <f>VLOOKUP('[1]New Data'!A132,'[1]New Data'!A:T,20,0)</f>
        <v>Water</v>
      </c>
      <c r="N132" s="5">
        <f>VLOOKUP('[1]New Data'!A98,'[1]New Data'!A:Z,25,0)</f>
        <v>5</v>
      </c>
    </row>
    <row r="133" spans="1:14" hidden="1" x14ac:dyDescent="0.35">
      <c r="A133" s="2">
        <v>1515461</v>
      </c>
      <c r="B133" s="2">
        <v>90915</v>
      </c>
      <c r="C133" s="2" t="s">
        <v>149</v>
      </c>
      <c r="D133" s="2" t="s">
        <v>15</v>
      </c>
      <c r="E133" s="3">
        <f>VLOOKUP('[1]New Data'!A285,'[1]New Data'!A:H,8,0)</f>
        <v>44</v>
      </c>
      <c r="F133" s="3" t="str">
        <f>VLOOKUP('[1]New Data'!A285,'[1]New Data'!A:J,10,0)</f>
        <v>Male</v>
      </c>
      <c r="G133" s="3" t="str">
        <f>VLOOKUP('[1]New Data'!A285,'[1]New Data'!A:K,11,0)</f>
        <v>Medium</v>
      </c>
      <c r="H133" s="4">
        <f>VLOOKUP('[1]New Data'!A285,'[1]New Data'!A:M,13,0)</f>
        <v>45056</v>
      </c>
      <c r="I133" s="5">
        <f>VLOOKUP('[1]New Data'!A285,'[1]New Data'!A:O,15,0)</f>
        <v>6</v>
      </c>
      <c r="J133" s="3">
        <f>VLOOKUP('[1]New Data'!A285,'[1]New Data'!A:P,16,0)</f>
        <v>309.843999</v>
      </c>
      <c r="K133" s="3">
        <f>VLOOKUP('[1]New Data'!A285,'[1]New Data'!A:Q,17,0)</f>
        <v>1859.0639940000001</v>
      </c>
      <c r="L133" s="3" t="str">
        <f>VLOOKUP('[1]New Data'!A133,'[1]New Data'!A:S,19,0)</f>
        <v>Grocery</v>
      </c>
      <c r="M133" s="3" t="str">
        <f>VLOOKUP('[1]New Data'!A133,'[1]New Data'!A:T,20,0)</f>
        <v>Soft Drink</v>
      </c>
      <c r="N133" s="5">
        <f>VLOOKUP('[1]New Data'!A285,'[1]New Data'!A:Z,25,0)</f>
        <v>1</v>
      </c>
    </row>
    <row r="134" spans="1:14" hidden="1" x14ac:dyDescent="0.35">
      <c r="A134" s="2">
        <v>9696802</v>
      </c>
      <c r="B134" s="2">
        <v>64755</v>
      </c>
      <c r="C134" s="2" t="s">
        <v>150</v>
      </c>
      <c r="D134" s="2" t="s">
        <v>15</v>
      </c>
      <c r="E134" s="3">
        <f>VLOOKUP('[1]New Data'!A194,'[1]New Data'!A:H,8,0)</f>
        <v>47</v>
      </c>
      <c r="F134" s="3" t="str">
        <f>VLOOKUP('[1]New Data'!A194,'[1]New Data'!A:J,10,0)</f>
        <v>Male</v>
      </c>
      <c r="G134" s="3" t="str">
        <f>VLOOKUP('[1]New Data'!A194,'[1]New Data'!A:K,11,0)</f>
        <v>Low</v>
      </c>
      <c r="H134" s="4">
        <f>VLOOKUP('[1]New Data'!A194,'[1]New Data'!A:M,13,0)</f>
        <v>45291</v>
      </c>
      <c r="I134" s="5">
        <f>VLOOKUP('[1]New Data'!A194,'[1]New Data'!A:O,15,0)</f>
        <v>8</v>
      </c>
      <c r="J134" s="3">
        <f>VLOOKUP('[1]New Data'!A194,'[1]New Data'!A:P,16,0)</f>
        <v>232.16704960000001</v>
      </c>
      <c r="K134" s="3">
        <f>VLOOKUP('[1]New Data'!A194,'[1]New Data'!A:Q,17,0)</f>
        <v>1857.336397</v>
      </c>
      <c r="L134" s="3" t="str">
        <f>VLOOKUP('[1]New Data'!A134,'[1]New Data'!A:S,19,0)</f>
        <v>Grocery</v>
      </c>
      <c r="M134" s="3" t="str">
        <f>VLOOKUP('[1]New Data'!A134,'[1]New Data'!A:T,20,0)</f>
        <v>Juice</v>
      </c>
      <c r="N134" s="5">
        <f>VLOOKUP('[1]New Data'!A194,'[1]New Data'!A:Z,25,0)</f>
        <v>5</v>
      </c>
    </row>
    <row r="135" spans="1:14" x14ac:dyDescent="0.35">
      <c r="A135" s="2">
        <v>5670981</v>
      </c>
      <c r="B135" s="2">
        <v>36084</v>
      </c>
      <c r="C135" s="2" t="s">
        <v>151</v>
      </c>
      <c r="D135" s="2" t="s">
        <v>15</v>
      </c>
      <c r="E135" s="3">
        <f>VLOOKUP('[1]New Data'!A306,'[1]New Data'!A:H,8,0)</f>
        <v>39</v>
      </c>
      <c r="F135" s="3" t="str">
        <f>VLOOKUP('[1]New Data'!A306,'[1]New Data'!A:J,10,0)</f>
        <v>Male</v>
      </c>
      <c r="G135" s="3" t="str">
        <f>VLOOKUP('[1]New Data'!A306,'[1]New Data'!A:K,11,0)</f>
        <v>Low</v>
      </c>
      <c r="H135" s="4">
        <f>VLOOKUP('[1]New Data'!A306,'[1]New Data'!A:M,13,0)</f>
        <v>45103</v>
      </c>
      <c r="I135" s="5">
        <f>VLOOKUP('[1]New Data'!A306,'[1]New Data'!A:O,15,0)</f>
        <v>9</v>
      </c>
      <c r="J135" s="3">
        <f>VLOOKUP('[1]New Data'!A306,'[1]New Data'!A:P,16,0)</f>
        <v>205.52504350000001</v>
      </c>
      <c r="K135" s="3">
        <f>VLOOKUP('[1]New Data'!A306,'[1]New Data'!A:Q,17,0)</f>
        <v>1849.7253920000001</v>
      </c>
      <c r="L135" s="3" t="str">
        <f>VLOOKUP('[1]New Data'!A135,'[1]New Data'!A:S,19,0)</f>
        <v>Home Decor</v>
      </c>
      <c r="M135" s="3" t="str">
        <f>VLOOKUP('[1]New Data'!A135,'[1]New Data'!A:T,20,0)</f>
        <v>Furniture</v>
      </c>
      <c r="N135" s="5">
        <f>VLOOKUP('[1]New Data'!A306,'[1]New Data'!A:Z,25,0)</f>
        <v>1</v>
      </c>
    </row>
    <row r="136" spans="1:14" x14ac:dyDescent="0.35">
      <c r="A136" s="2">
        <v>7513061</v>
      </c>
      <c r="B136" s="2">
        <v>84643</v>
      </c>
      <c r="C136" s="2" t="s">
        <v>152</v>
      </c>
      <c r="D136" s="2" t="s">
        <v>15</v>
      </c>
      <c r="E136" s="3">
        <f>VLOOKUP('[1]New Data'!A463,'[1]New Data'!A:H,8,0)</f>
        <v>63</v>
      </c>
      <c r="F136" s="3" t="str">
        <f>VLOOKUP('[1]New Data'!A463,'[1]New Data'!A:J,10,0)</f>
        <v>Male</v>
      </c>
      <c r="G136" s="3" t="str">
        <f>VLOOKUP('[1]New Data'!A463,'[1]New Data'!A:K,11,0)</f>
        <v>Medium</v>
      </c>
      <c r="H136" s="4">
        <f>VLOOKUP('[1]New Data'!A463,'[1]New Data'!A:M,13,0)</f>
        <v>44998</v>
      </c>
      <c r="I136" s="5">
        <f>VLOOKUP('[1]New Data'!A463,'[1]New Data'!A:O,15,0)</f>
        <v>5</v>
      </c>
      <c r="J136" s="3">
        <f>VLOOKUP('[1]New Data'!A463,'[1]New Data'!A:P,16,0)</f>
        <v>367.98365919999998</v>
      </c>
      <c r="K136" s="3">
        <f>VLOOKUP('[1]New Data'!A463,'[1]New Data'!A:Q,17,0)</f>
        <v>1839.9182960000001</v>
      </c>
      <c r="L136" s="3" t="str">
        <f>VLOOKUP('[1]New Data'!A136,'[1]New Data'!A:S,19,0)</f>
        <v>Home Decor</v>
      </c>
      <c r="M136" s="3" t="str">
        <f>VLOOKUP('[1]New Data'!A136,'[1]New Data'!A:T,20,0)</f>
        <v>Lighting</v>
      </c>
      <c r="N136" s="5">
        <f>VLOOKUP('[1]New Data'!A463,'[1]New Data'!A:Z,25,0)</f>
        <v>3</v>
      </c>
    </row>
    <row r="137" spans="1:14" hidden="1" x14ac:dyDescent="0.35">
      <c r="A137" s="2">
        <v>9871668</v>
      </c>
      <c r="B137" s="2">
        <v>28591</v>
      </c>
      <c r="C137" s="2" t="s">
        <v>153</v>
      </c>
      <c r="D137" s="2" t="s">
        <v>15</v>
      </c>
      <c r="E137" s="3">
        <f>VLOOKUP('[1]New Data'!A300,'[1]New Data'!A:H,8,0)</f>
        <v>24</v>
      </c>
      <c r="F137" s="3" t="str">
        <f>VLOOKUP('[1]New Data'!A300,'[1]New Data'!A:J,10,0)</f>
        <v>Male</v>
      </c>
      <c r="G137" s="3" t="str">
        <f>VLOOKUP('[1]New Data'!A300,'[1]New Data'!A:K,11,0)</f>
        <v>Medium</v>
      </c>
      <c r="H137" s="4">
        <f>VLOOKUP('[1]New Data'!A300,'[1]New Data'!A:M,13,0)</f>
        <v>45034</v>
      </c>
      <c r="I137" s="5">
        <f>VLOOKUP('[1]New Data'!A300,'[1]New Data'!A:O,15,0)</f>
        <v>7</v>
      </c>
      <c r="J137" s="3">
        <f>VLOOKUP('[1]New Data'!A300,'[1]New Data'!A:P,16,0)</f>
        <v>261.86879210000001</v>
      </c>
      <c r="K137" s="3">
        <f>VLOOKUP('[1]New Data'!A300,'[1]New Data'!A:Q,17,0)</f>
        <v>1833.081545</v>
      </c>
      <c r="L137" s="3" t="str">
        <f>VLOOKUP('[1]New Data'!A137,'[1]New Data'!A:S,19,0)</f>
        <v>Clothing</v>
      </c>
      <c r="M137" s="3" t="str">
        <f>VLOOKUP('[1]New Data'!A137,'[1]New Data'!A:T,20,0)</f>
        <v>Shoes</v>
      </c>
      <c r="N137" s="5">
        <f>VLOOKUP('[1]New Data'!A300,'[1]New Data'!A:Z,25,0)</f>
        <v>3</v>
      </c>
    </row>
    <row r="138" spans="1:14" hidden="1" x14ac:dyDescent="0.35">
      <c r="A138" s="2">
        <v>6126111</v>
      </c>
      <c r="B138" s="2">
        <v>63629</v>
      </c>
      <c r="C138" s="2" t="s">
        <v>154</v>
      </c>
      <c r="D138" s="2" t="s">
        <v>15</v>
      </c>
      <c r="E138" s="3">
        <f>VLOOKUP('[1]New Data'!A75,'[1]New Data'!A:H,8,0)</f>
        <v>37</v>
      </c>
      <c r="F138" s="3" t="str">
        <f>VLOOKUP('[1]New Data'!A75,'[1]New Data'!A:J,10,0)</f>
        <v>Female</v>
      </c>
      <c r="G138" s="3" t="str">
        <f>VLOOKUP('[1]New Data'!A75,'[1]New Data'!A:K,11,0)</f>
        <v>Low</v>
      </c>
      <c r="H138" s="4">
        <f>VLOOKUP('[1]New Data'!A75,'[1]New Data'!A:M,13,0)</f>
        <v>45008</v>
      </c>
      <c r="I138" s="5">
        <f>VLOOKUP('[1]New Data'!A75,'[1]New Data'!A:O,15,0)</f>
        <v>9</v>
      </c>
      <c r="J138" s="3">
        <f>VLOOKUP('[1]New Data'!A75,'[1]New Data'!A:P,16,0)</f>
        <v>202.60930110000001</v>
      </c>
      <c r="K138" s="3">
        <f>VLOOKUP('[1]New Data'!A75,'[1]New Data'!A:Q,17,0)</f>
        <v>1823.48371</v>
      </c>
      <c r="L138" s="3" t="str">
        <f>VLOOKUP('[1]New Data'!A138,'[1]New Data'!A:S,19,0)</f>
        <v>Electronics</v>
      </c>
      <c r="M138" s="3" t="str">
        <f>VLOOKUP('[1]New Data'!A138,'[1]New Data'!A:T,20,0)</f>
        <v>Television</v>
      </c>
      <c r="N138" s="5">
        <f>VLOOKUP('[1]New Data'!A75,'[1]New Data'!A:Z,25,0)</f>
        <v>1</v>
      </c>
    </row>
    <row r="139" spans="1:14" x14ac:dyDescent="0.35">
      <c r="A139" s="2">
        <v>9302527</v>
      </c>
      <c r="B139" s="2">
        <v>49047</v>
      </c>
      <c r="C139" s="2" t="s">
        <v>155</v>
      </c>
      <c r="D139" s="2" t="s">
        <v>15</v>
      </c>
      <c r="E139" s="3">
        <f>VLOOKUP('[1]New Data'!A372,'[1]New Data'!A:H,8,0)</f>
        <v>28</v>
      </c>
      <c r="F139" s="3" t="str">
        <f>VLOOKUP('[1]New Data'!A372,'[1]New Data'!A:J,10,0)</f>
        <v>Male</v>
      </c>
      <c r="G139" s="3" t="str">
        <f>VLOOKUP('[1]New Data'!A372,'[1]New Data'!A:K,11,0)</f>
        <v>Medium</v>
      </c>
      <c r="H139" s="4">
        <f>VLOOKUP('[1]New Data'!A372,'[1]New Data'!A:M,13,0)</f>
        <v>45172</v>
      </c>
      <c r="I139" s="5">
        <f>VLOOKUP('[1]New Data'!A372,'[1]New Data'!A:O,15,0)</f>
        <v>7</v>
      </c>
      <c r="J139" s="3">
        <f>VLOOKUP('[1]New Data'!A372,'[1]New Data'!A:P,16,0)</f>
        <v>258.43806999999998</v>
      </c>
      <c r="K139" s="3">
        <f>VLOOKUP('[1]New Data'!A372,'[1]New Data'!A:Q,17,0)</f>
        <v>1809.0664899999999</v>
      </c>
      <c r="L139" s="3" t="str">
        <f>VLOOKUP('[1]New Data'!A139,'[1]New Data'!A:S,19,0)</f>
        <v>Home Decor</v>
      </c>
      <c r="M139" s="3" t="str">
        <f>VLOOKUP('[1]New Data'!A139,'[1]New Data'!A:T,20,0)</f>
        <v>Bathroom</v>
      </c>
      <c r="N139" s="5">
        <f>VLOOKUP('[1]New Data'!A372,'[1]New Data'!A:Z,25,0)</f>
        <v>1</v>
      </c>
    </row>
    <row r="140" spans="1:14" hidden="1" x14ac:dyDescent="0.35">
      <c r="A140" s="2">
        <v>9316466</v>
      </c>
      <c r="B140" s="2">
        <v>17098</v>
      </c>
      <c r="C140" s="2" t="s">
        <v>156</v>
      </c>
      <c r="D140" s="2" t="s">
        <v>15</v>
      </c>
      <c r="E140" s="3">
        <f>VLOOKUP('[1]New Data'!A164,'[1]New Data'!A:H,8,0)</f>
        <v>26</v>
      </c>
      <c r="F140" s="3" t="str">
        <f>VLOOKUP('[1]New Data'!A164,'[1]New Data'!A:J,10,0)</f>
        <v>Female</v>
      </c>
      <c r="G140" s="3" t="str">
        <f>VLOOKUP('[1]New Data'!A164,'[1]New Data'!A:K,11,0)</f>
        <v>High</v>
      </c>
      <c r="H140" s="4">
        <f>VLOOKUP('[1]New Data'!A164,'[1]New Data'!A:M,13,0)</f>
        <v>45303</v>
      </c>
      <c r="I140" s="5">
        <f>VLOOKUP('[1]New Data'!A164,'[1]New Data'!A:O,15,0)</f>
        <v>8</v>
      </c>
      <c r="J140" s="3">
        <f>VLOOKUP('[1]New Data'!A164,'[1]New Data'!A:P,16,0)</f>
        <v>223.99913140000001</v>
      </c>
      <c r="K140" s="3">
        <f>VLOOKUP('[1]New Data'!A164,'[1]New Data'!A:Q,17,0)</f>
        <v>1791.9930509999999</v>
      </c>
      <c r="L140" s="3" t="str">
        <f>VLOOKUP('[1]New Data'!A140,'[1]New Data'!A:S,19,0)</f>
        <v>Books</v>
      </c>
      <c r="M140" s="3" t="str">
        <f>VLOOKUP('[1]New Data'!A140,'[1]New Data'!A:T,20,0)</f>
        <v>Fiction</v>
      </c>
      <c r="N140" s="5">
        <f>VLOOKUP('[1]New Data'!A164,'[1]New Data'!A:Z,25,0)</f>
        <v>2</v>
      </c>
    </row>
    <row r="141" spans="1:14" x14ac:dyDescent="0.35">
      <c r="A141" s="2">
        <v>2401331</v>
      </c>
      <c r="B141" s="2">
        <v>98300</v>
      </c>
      <c r="C141" s="2" t="s">
        <v>157</v>
      </c>
      <c r="D141" s="2" t="s">
        <v>15</v>
      </c>
      <c r="E141" s="3">
        <f>VLOOKUP('[1]New Data'!A16,'[1]New Data'!A:H,8,0)</f>
        <v>32</v>
      </c>
      <c r="F141" s="3" t="str">
        <f>VLOOKUP('[1]New Data'!A16,'[1]New Data'!A:J,10,0)</f>
        <v>Female</v>
      </c>
      <c r="G141" s="3" t="str">
        <f>VLOOKUP('[1]New Data'!A16,'[1]New Data'!A:K,11,0)</f>
        <v>High</v>
      </c>
      <c r="H141" s="4">
        <f>VLOOKUP('[1]New Data'!A16,'[1]New Data'!A:M,13,0)</f>
        <v>45248</v>
      </c>
      <c r="I141" s="5">
        <f>VLOOKUP('[1]New Data'!A16,'[1]New Data'!A:O,15,0)</f>
        <v>6</v>
      </c>
      <c r="J141" s="3">
        <f>VLOOKUP('[1]New Data'!A16,'[1]New Data'!A:P,16,0)</f>
        <v>297.72603909999998</v>
      </c>
      <c r="K141" s="3">
        <f>VLOOKUP('[1]New Data'!A16,'[1]New Data'!A:Q,17,0)</f>
        <v>1786.356235</v>
      </c>
      <c r="L141" s="3" t="str">
        <f>VLOOKUP('[1]New Data'!A141,'[1]New Data'!A:S,19,0)</f>
        <v>Home Decor</v>
      </c>
      <c r="M141" s="3" t="str">
        <f>VLOOKUP('[1]New Data'!A141,'[1]New Data'!A:T,20,0)</f>
        <v>Bedding</v>
      </c>
      <c r="N141" s="5">
        <f>VLOOKUP('[1]New Data'!A16,'[1]New Data'!A:Z,25,0)</f>
        <v>1</v>
      </c>
    </row>
    <row r="142" spans="1:14" hidden="1" x14ac:dyDescent="0.35">
      <c r="A142" s="2">
        <v>7872782</v>
      </c>
      <c r="B142" s="2">
        <v>85089</v>
      </c>
      <c r="C142" s="2" t="s">
        <v>158</v>
      </c>
      <c r="D142" s="2" t="s">
        <v>15</v>
      </c>
      <c r="E142" s="3">
        <f>VLOOKUP('[1]New Data'!A288,'[1]New Data'!A:H,8,0)</f>
        <v>54</v>
      </c>
      <c r="F142" s="3" t="str">
        <f>VLOOKUP('[1]New Data'!A288,'[1]New Data'!A:J,10,0)</f>
        <v>Male</v>
      </c>
      <c r="G142" s="3" t="str">
        <f>VLOOKUP('[1]New Data'!A288,'[1]New Data'!A:K,11,0)</f>
        <v>Medium</v>
      </c>
      <c r="H142" s="4">
        <f>VLOOKUP('[1]New Data'!A288,'[1]New Data'!A:M,13,0)</f>
        <v>45176</v>
      </c>
      <c r="I142" s="5">
        <f>VLOOKUP('[1]New Data'!A288,'[1]New Data'!A:O,15,0)</f>
        <v>4</v>
      </c>
      <c r="J142" s="3">
        <f>VLOOKUP('[1]New Data'!A288,'[1]New Data'!A:P,16,0)</f>
        <v>444.90035189999998</v>
      </c>
      <c r="K142" s="3">
        <f>VLOOKUP('[1]New Data'!A288,'[1]New Data'!A:Q,17,0)</f>
        <v>1779.601408</v>
      </c>
      <c r="L142" s="3" t="str">
        <f>VLOOKUP('[1]New Data'!A142,'[1]New Data'!A:S,19,0)</f>
        <v>Books</v>
      </c>
      <c r="M142" s="3" t="str">
        <f>VLOOKUP('[1]New Data'!A142,'[1]New Data'!A:T,20,0)</f>
        <v>Fiction</v>
      </c>
      <c r="N142" s="5">
        <f>VLOOKUP('[1]New Data'!A288,'[1]New Data'!A:Z,25,0)</f>
        <v>3</v>
      </c>
    </row>
    <row r="143" spans="1:14" x14ac:dyDescent="0.35">
      <c r="A143" s="2">
        <v>6219631</v>
      </c>
      <c r="B143" s="2">
        <v>26736</v>
      </c>
      <c r="C143" s="2" t="s">
        <v>159</v>
      </c>
      <c r="D143" s="2" t="s">
        <v>15</v>
      </c>
      <c r="E143" s="3">
        <f>VLOOKUP('[1]New Data'!A110,'[1]New Data'!A:H,8,0)</f>
        <v>67</v>
      </c>
      <c r="F143" s="3" t="str">
        <f>VLOOKUP('[1]New Data'!A110,'[1]New Data'!A:J,10,0)</f>
        <v>Female</v>
      </c>
      <c r="G143" s="3" t="str">
        <f>VLOOKUP('[1]New Data'!A110,'[1]New Data'!A:K,11,0)</f>
        <v>Medium</v>
      </c>
      <c r="H143" s="4">
        <f>VLOOKUP('[1]New Data'!A110,'[1]New Data'!A:M,13,0)</f>
        <v>45168</v>
      </c>
      <c r="I143" s="5">
        <f>VLOOKUP('[1]New Data'!A110,'[1]New Data'!A:O,15,0)</f>
        <v>8</v>
      </c>
      <c r="J143" s="3">
        <f>VLOOKUP('[1]New Data'!A110,'[1]New Data'!A:P,16,0)</f>
        <v>221.5377905</v>
      </c>
      <c r="K143" s="3">
        <f>VLOOKUP('[1]New Data'!A110,'[1]New Data'!A:Q,17,0)</f>
        <v>1772.302324</v>
      </c>
      <c r="L143" s="3" t="str">
        <f>VLOOKUP('[1]New Data'!A143,'[1]New Data'!A:S,19,0)</f>
        <v>Home Decor</v>
      </c>
      <c r="M143" s="3" t="str">
        <f>VLOOKUP('[1]New Data'!A143,'[1]New Data'!A:T,20,0)</f>
        <v>Decorations</v>
      </c>
      <c r="N143" s="5">
        <f>VLOOKUP('[1]New Data'!A110,'[1]New Data'!A:Z,25,0)</f>
        <v>4</v>
      </c>
    </row>
    <row r="144" spans="1:14" hidden="1" x14ac:dyDescent="0.35">
      <c r="A144" s="2">
        <v>2869376</v>
      </c>
      <c r="B144" s="2">
        <v>95670</v>
      </c>
      <c r="C144" s="2" t="s">
        <v>160</v>
      </c>
      <c r="D144" s="2" t="s">
        <v>15</v>
      </c>
      <c r="E144" s="3">
        <f>VLOOKUP('[1]New Data'!A172,'[1]New Data'!A:H,8,0)</f>
        <v>39</v>
      </c>
      <c r="F144" s="3" t="str">
        <f>VLOOKUP('[1]New Data'!A172,'[1]New Data'!A:J,10,0)</f>
        <v>Male</v>
      </c>
      <c r="G144" s="3" t="str">
        <f>VLOOKUP('[1]New Data'!A172,'[1]New Data'!A:K,11,0)</f>
        <v>Low</v>
      </c>
      <c r="H144" s="4">
        <f>VLOOKUP('[1]New Data'!A172,'[1]New Data'!A:M,13,0)</f>
        <v>45288</v>
      </c>
      <c r="I144" s="5">
        <f>VLOOKUP('[1]New Data'!A172,'[1]New Data'!A:O,15,0)</f>
        <v>7</v>
      </c>
      <c r="J144" s="3">
        <f>VLOOKUP('[1]New Data'!A172,'[1]New Data'!A:P,16,0)</f>
        <v>251.94317699999999</v>
      </c>
      <c r="K144" s="3">
        <f>VLOOKUP('[1]New Data'!A172,'[1]New Data'!A:Q,17,0)</f>
        <v>1763.6022390000001</v>
      </c>
      <c r="L144" s="3" t="str">
        <f>VLOOKUP('[1]New Data'!A144,'[1]New Data'!A:S,19,0)</f>
        <v>Clothing</v>
      </c>
      <c r="M144" s="3" t="str">
        <f>VLOOKUP('[1]New Data'!A144,'[1]New Data'!A:T,20,0)</f>
        <v>Dress</v>
      </c>
      <c r="N144" s="5">
        <f>VLOOKUP('[1]New Data'!A172,'[1]New Data'!A:Z,25,0)</f>
        <v>2</v>
      </c>
    </row>
    <row r="145" spans="1:14" hidden="1" x14ac:dyDescent="0.35">
      <c r="A145" s="2">
        <v>4554224</v>
      </c>
      <c r="B145" s="2">
        <v>71298</v>
      </c>
      <c r="C145" s="2" t="s">
        <v>161</v>
      </c>
      <c r="D145" s="2" t="s">
        <v>15</v>
      </c>
      <c r="E145" s="3">
        <f>VLOOKUP('[1]New Data'!A396,'[1]New Data'!A:H,8,0)</f>
        <v>29</v>
      </c>
      <c r="F145" s="3" t="str">
        <f>VLOOKUP('[1]New Data'!A396,'[1]New Data'!A:J,10,0)</f>
        <v>Male</v>
      </c>
      <c r="G145" s="3" t="str">
        <f>VLOOKUP('[1]New Data'!A396,'[1]New Data'!A:K,11,0)</f>
        <v>Medium</v>
      </c>
      <c r="H145" s="4">
        <f>VLOOKUP('[1]New Data'!A396,'[1]New Data'!A:M,13,0)</f>
        <v>45006</v>
      </c>
      <c r="I145" s="5">
        <f>VLOOKUP('[1]New Data'!A396,'[1]New Data'!A:O,15,0)</f>
        <v>7</v>
      </c>
      <c r="J145" s="3">
        <f>VLOOKUP('[1]New Data'!A396,'[1]New Data'!A:P,16,0)</f>
        <v>247.76890940000001</v>
      </c>
      <c r="K145" s="3">
        <f>VLOOKUP('[1]New Data'!A396,'[1]New Data'!A:Q,17,0)</f>
        <v>1734.382366</v>
      </c>
      <c r="L145" s="3" t="str">
        <f>VLOOKUP('[1]New Data'!A145,'[1]New Data'!A:S,19,0)</f>
        <v>Electronics</v>
      </c>
      <c r="M145" s="3" t="str">
        <f>VLOOKUP('[1]New Data'!A145,'[1]New Data'!A:T,20,0)</f>
        <v>Headphones</v>
      </c>
      <c r="N145" s="5">
        <f>VLOOKUP('[1]New Data'!A396,'[1]New Data'!A:Z,25,0)</f>
        <v>5</v>
      </c>
    </row>
    <row r="146" spans="1:14" x14ac:dyDescent="0.35">
      <c r="A146" s="2">
        <v>7943755</v>
      </c>
      <c r="B146" s="2">
        <v>43434</v>
      </c>
      <c r="C146" s="2" t="s">
        <v>162</v>
      </c>
      <c r="D146" s="2" t="s">
        <v>15</v>
      </c>
      <c r="E146" s="3">
        <f>VLOOKUP('[1]New Data'!A414,'[1]New Data'!A:H,8,0)</f>
        <v>25</v>
      </c>
      <c r="F146" s="3" t="str">
        <f>VLOOKUP('[1]New Data'!A414,'[1]New Data'!A:J,10,0)</f>
        <v>Male</v>
      </c>
      <c r="G146" s="3" t="str">
        <f>VLOOKUP('[1]New Data'!A414,'[1]New Data'!A:K,11,0)</f>
        <v>Low</v>
      </c>
      <c r="H146" s="4">
        <f>VLOOKUP('[1]New Data'!A414,'[1]New Data'!A:M,13,0)</f>
        <v>45224</v>
      </c>
      <c r="I146" s="5">
        <f>VLOOKUP('[1]New Data'!A414,'[1]New Data'!A:O,15,0)</f>
        <v>5</v>
      </c>
      <c r="J146" s="3">
        <f>VLOOKUP('[1]New Data'!A414,'[1]New Data'!A:P,16,0)</f>
        <v>346.22579459999997</v>
      </c>
      <c r="K146" s="3">
        <f>VLOOKUP('[1]New Data'!A414,'[1]New Data'!A:Q,17,0)</f>
        <v>1731.1289730000001</v>
      </c>
      <c r="L146" s="3" t="str">
        <f>VLOOKUP('[1]New Data'!A146,'[1]New Data'!A:S,19,0)</f>
        <v>Home Decor</v>
      </c>
      <c r="M146" s="3" t="str">
        <f>VLOOKUP('[1]New Data'!A146,'[1]New Data'!A:T,20,0)</f>
        <v>Furniture</v>
      </c>
      <c r="N146" s="5">
        <f>VLOOKUP('[1]New Data'!A414,'[1]New Data'!A:Z,25,0)</f>
        <v>4</v>
      </c>
    </row>
    <row r="147" spans="1:14" hidden="1" x14ac:dyDescent="0.35">
      <c r="A147" s="2">
        <v>1209755</v>
      </c>
      <c r="B147" s="2">
        <v>26917</v>
      </c>
      <c r="C147" s="2" t="s">
        <v>163</v>
      </c>
      <c r="D147" s="2" t="s">
        <v>15</v>
      </c>
      <c r="E147" s="3">
        <f>VLOOKUP('[1]New Data'!A395,'[1]New Data'!A:H,8,0)</f>
        <v>53</v>
      </c>
      <c r="F147" s="3" t="str">
        <f>VLOOKUP('[1]New Data'!A395,'[1]New Data'!A:J,10,0)</f>
        <v>Female</v>
      </c>
      <c r="G147" s="3" t="str">
        <f>VLOOKUP('[1]New Data'!A395,'[1]New Data'!A:K,11,0)</f>
        <v>Medium</v>
      </c>
      <c r="H147" s="4">
        <f>VLOOKUP('[1]New Data'!A395,'[1]New Data'!A:M,13,0)</f>
        <v>45049</v>
      </c>
      <c r="I147" s="5">
        <f>VLOOKUP('[1]New Data'!A395,'[1]New Data'!A:O,15,0)</f>
        <v>6</v>
      </c>
      <c r="J147" s="3">
        <f>VLOOKUP('[1]New Data'!A395,'[1]New Data'!A:P,16,0)</f>
        <v>286.59081379999998</v>
      </c>
      <c r="K147" s="3">
        <f>VLOOKUP('[1]New Data'!A395,'[1]New Data'!A:Q,17,0)</f>
        <v>1719.544883</v>
      </c>
      <c r="L147" s="3" t="str">
        <f>VLOOKUP('[1]New Data'!A147,'[1]New Data'!A:S,19,0)</f>
        <v>Clothing</v>
      </c>
      <c r="M147" s="3" t="str">
        <f>VLOOKUP('[1]New Data'!A147,'[1]New Data'!A:T,20,0)</f>
        <v>Jacket</v>
      </c>
      <c r="N147" s="5">
        <f>VLOOKUP('[1]New Data'!A395,'[1]New Data'!A:Z,25,0)</f>
        <v>5</v>
      </c>
    </row>
    <row r="148" spans="1:14" x14ac:dyDescent="0.35">
      <c r="A148" s="2">
        <v>3657578</v>
      </c>
      <c r="B148" s="2">
        <v>98004</v>
      </c>
      <c r="C148" s="2" t="s">
        <v>164</v>
      </c>
      <c r="D148" s="2" t="s">
        <v>15</v>
      </c>
      <c r="E148" s="3">
        <f>VLOOKUP('[1]New Data'!A450,'[1]New Data'!A:H,8,0)</f>
        <v>40</v>
      </c>
      <c r="F148" s="3" t="str">
        <f>VLOOKUP('[1]New Data'!A450,'[1]New Data'!A:J,10,0)</f>
        <v>Male</v>
      </c>
      <c r="G148" s="3" t="str">
        <f>VLOOKUP('[1]New Data'!A450,'[1]New Data'!A:K,11,0)</f>
        <v>High</v>
      </c>
      <c r="H148" s="4">
        <f>VLOOKUP('[1]New Data'!A450,'[1]New Data'!A:M,13,0)</f>
        <v>44993</v>
      </c>
      <c r="I148" s="5">
        <f>VLOOKUP('[1]New Data'!A450,'[1]New Data'!A:O,15,0)</f>
        <v>7</v>
      </c>
      <c r="J148" s="3">
        <f>VLOOKUP('[1]New Data'!A450,'[1]New Data'!A:P,16,0)</f>
        <v>243.8367825</v>
      </c>
      <c r="K148" s="3">
        <f>VLOOKUP('[1]New Data'!A450,'[1]New Data'!A:Q,17,0)</f>
        <v>1706.857477</v>
      </c>
      <c r="L148" s="3" t="str">
        <f>VLOOKUP('[1]New Data'!A148,'[1]New Data'!A:S,19,0)</f>
        <v>Home Decor</v>
      </c>
      <c r="M148" s="3" t="str">
        <f>VLOOKUP('[1]New Data'!A148,'[1]New Data'!A:T,20,0)</f>
        <v>Kitchen</v>
      </c>
      <c r="N148" s="5">
        <f>VLOOKUP('[1]New Data'!A450,'[1]New Data'!A:Z,25,0)</f>
        <v>2</v>
      </c>
    </row>
    <row r="149" spans="1:14" x14ac:dyDescent="0.35">
      <c r="A149" s="2">
        <v>5224569</v>
      </c>
      <c r="B149" s="2">
        <v>80072</v>
      </c>
      <c r="C149" s="2" t="s">
        <v>165</v>
      </c>
      <c r="D149" s="2" t="s">
        <v>15</v>
      </c>
      <c r="E149" s="3">
        <f>VLOOKUP('[1]New Data'!A401,'[1]New Data'!A:H,8,0)</f>
        <v>37</v>
      </c>
      <c r="F149" s="3" t="str">
        <f>VLOOKUP('[1]New Data'!A401,'[1]New Data'!A:J,10,0)</f>
        <v>Female</v>
      </c>
      <c r="G149" s="3" t="str">
        <f>VLOOKUP('[1]New Data'!A401,'[1]New Data'!A:K,11,0)</f>
        <v>Medium</v>
      </c>
      <c r="H149" s="4">
        <f>VLOOKUP('[1]New Data'!A401,'[1]New Data'!A:M,13,0)</f>
        <v>45059</v>
      </c>
      <c r="I149" s="5">
        <f>VLOOKUP('[1]New Data'!A401,'[1]New Data'!A:O,15,0)</f>
        <v>8</v>
      </c>
      <c r="J149" s="3">
        <f>VLOOKUP('[1]New Data'!A401,'[1]New Data'!A:P,16,0)</f>
        <v>213.1090949</v>
      </c>
      <c r="K149" s="3">
        <f>VLOOKUP('[1]New Data'!A401,'[1]New Data'!A:Q,17,0)</f>
        <v>1704.87276</v>
      </c>
      <c r="L149" s="3" t="str">
        <f>VLOOKUP('[1]New Data'!A149,'[1]New Data'!A:S,19,0)</f>
        <v>Home Decor</v>
      </c>
      <c r="M149" s="3" t="str">
        <f>VLOOKUP('[1]New Data'!A149,'[1]New Data'!A:T,20,0)</f>
        <v>Bathroom</v>
      </c>
      <c r="N149" s="5">
        <f>VLOOKUP('[1]New Data'!A401,'[1]New Data'!A:Z,25,0)</f>
        <v>2</v>
      </c>
    </row>
    <row r="150" spans="1:14" hidden="1" x14ac:dyDescent="0.35">
      <c r="A150" s="2">
        <v>4205944</v>
      </c>
      <c r="B150" s="2">
        <v>82024</v>
      </c>
      <c r="C150" s="2" t="s">
        <v>166</v>
      </c>
      <c r="D150" s="2" t="s">
        <v>15</v>
      </c>
      <c r="E150" s="3">
        <f>VLOOKUP('[1]New Data'!A290,'[1]New Data'!A:H,8,0)</f>
        <v>48</v>
      </c>
      <c r="F150" s="3" t="str">
        <f>VLOOKUP('[1]New Data'!A290,'[1]New Data'!A:J,10,0)</f>
        <v>Female</v>
      </c>
      <c r="G150" s="3" t="str">
        <f>VLOOKUP('[1]New Data'!A290,'[1]New Data'!A:K,11,0)</f>
        <v>Low</v>
      </c>
      <c r="H150" s="4">
        <f>VLOOKUP('[1]New Data'!A290,'[1]New Data'!A:M,13,0)</f>
        <v>45124</v>
      </c>
      <c r="I150" s="5">
        <f>VLOOKUP('[1]New Data'!A290,'[1]New Data'!A:O,15,0)</f>
        <v>6</v>
      </c>
      <c r="J150" s="3">
        <f>VLOOKUP('[1]New Data'!A290,'[1]New Data'!A:P,16,0)</f>
        <v>281.47719510000002</v>
      </c>
      <c r="K150" s="3">
        <f>VLOOKUP('[1]New Data'!A290,'[1]New Data'!A:Q,17,0)</f>
        <v>1688.8631700000001</v>
      </c>
      <c r="L150" s="3" t="str">
        <f>VLOOKUP('[1]New Data'!A150,'[1]New Data'!A:S,19,0)</f>
        <v>Grocery</v>
      </c>
      <c r="M150" s="3" t="str">
        <f>VLOOKUP('[1]New Data'!A150,'[1]New Data'!A:T,20,0)</f>
        <v>Juice</v>
      </c>
      <c r="N150" s="5">
        <f>VLOOKUP('[1]New Data'!A290,'[1]New Data'!A:Z,25,0)</f>
        <v>2</v>
      </c>
    </row>
    <row r="151" spans="1:14" hidden="1" x14ac:dyDescent="0.35">
      <c r="A151" s="2">
        <v>8388105</v>
      </c>
      <c r="B151" s="2">
        <v>55182</v>
      </c>
      <c r="C151" s="2" t="s">
        <v>167</v>
      </c>
      <c r="D151" s="2" t="s">
        <v>15</v>
      </c>
      <c r="E151" s="3">
        <f>VLOOKUP('[1]New Data'!A462,'[1]New Data'!A:H,8,0)</f>
        <v>59</v>
      </c>
      <c r="F151" s="3" t="str">
        <f>VLOOKUP('[1]New Data'!A462,'[1]New Data'!A:J,10,0)</f>
        <v>Female</v>
      </c>
      <c r="G151" s="3" t="str">
        <f>VLOOKUP('[1]New Data'!A462,'[1]New Data'!A:K,11,0)</f>
        <v>Low</v>
      </c>
      <c r="H151" s="4">
        <f>VLOOKUP('[1]New Data'!A462,'[1]New Data'!A:M,13,0)</f>
        <v>45175</v>
      </c>
      <c r="I151" s="5">
        <f>VLOOKUP('[1]New Data'!A462,'[1]New Data'!A:O,15,0)</f>
        <v>7</v>
      </c>
      <c r="J151" s="3">
        <f>VLOOKUP('[1]New Data'!A462,'[1]New Data'!A:P,16,0)</f>
        <v>240.77017420000001</v>
      </c>
      <c r="K151" s="3">
        <f>VLOOKUP('[1]New Data'!A462,'[1]New Data'!A:Q,17,0)</f>
        <v>1685.39122</v>
      </c>
      <c r="L151" s="3" t="str">
        <f>VLOOKUP('[1]New Data'!A151,'[1]New Data'!A:S,19,0)</f>
        <v>Books</v>
      </c>
      <c r="M151" s="3" t="str">
        <f>VLOOKUP('[1]New Data'!A151,'[1]New Data'!A:T,20,0)</f>
        <v>Fiction</v>
      </c>
      <c r="N151" s="5">
        <f>VLOOKUP('[1]New Data'!A462,'[1]New Data'!A:Z,25,0)</f>
        <v>4</v>
      </c>
    </row>
    <row r="152" spans="1:14" hidden="1" x14ac:dyDescent="0.35">
      <c r="A152" s="2">
        <v>8273419</v>
      </c>
      <c r="B152" s="2">
        <v>34145</v>
      </c>
      <c r="C152" s="2" t="s">
        <v>168</v>
      </c>
      <c r="D152" s="2" t="s">
        <v>15</v>
      </c>
      <c r="E152" s="3">
        <f>VLOOKUP('[1]New Data'!A135,'[1]New Data'!A:H,8,0)</f>
        <v>69</v>
      </c>
      <c r="F152" s="3" t="str">
        <f>VLOOKUP('[1]New Data'!A135,'[1]New Data'!A:J,10,0)</f>
        <v>Male</v>
      </c>
      <c r="G152" s="3" t="str">
        <f>VLOOKUP('[1]New Data'!A135,'[1]New Data'!A:K,11,0)</f>
        <v>Medium</v>
      </c>
      <c r="H152" s="4">
        <f>VLOOKUP('[1]New Data'!A135,'[1]New Data'!A:M,13,0)</f>
        <v>45262</v>
      </c>
      <c r="I152" s="5">
        <f>VLOOKUP('[1]New Data'!A135,'[1]New Data'!A:O,15,0)</f>
        <v>9</v>
      </c>
      <c r="J152" s="3">
        <f>VLOOKUP('[1]New Data'!A135,'[1]New Data'!A:P,16,0)</f>
        <v>183.23112699999999</v>
      </c>
      <c r="K152" s="3">
        <f>VLOOKUP('[1]New Data'!A135,'[1]New Data'!A:Q,17,0)</f>
        <v>1649.0801429999999</v>
      </c>
      <c r="L152" s="3" t="str">
        <f>VLOOKUP('[1]New Data'!A152,'[1]New Data'!A:S,19,0)</f>
        <v>Electronics</v>
      </c>
      <c r="M152" s="3" t="str">
        <f>VLOOKUP('[1]New Data'!A152,'[1]New Data'!A:T,20,0)</f>
        <v>Television</v>
      </c>
      <c r="N152" s="5">
        <f>VLOOKUP('[1]New Data'!A135,'[1]New Data'!A:Z,25,0)</f>
        <v>1</v>
      </c>
    </row>
    <row r="153" spans="1:14" hidden="1" x14ac:dyDescent="0.35">
      <c r="A153" s="2">
        <v>6532646</v>
      </c>
      <c r="B153" s="2">
        <v>22191</v>
      </c>
      <c r="C153" s="2" t="s">
        <v>169</v>
      </c>
      <c r="D153" s="2" t="s">
        <v>15</v>
      </c>
      <c r="E153" s="3">
        <f>VLOOKUP('[1]New Data'!A220,'[1]New Data'!A:H,8,0)</f>
        <v>64</v>
      </c>
      <c r="F153" s="3" t="str">
        <f>VLOOKUP('[1]New Data'!A220,'[1]New Data'!A:J,10,0)</f>
        <v>Female</v>
      </c>
      <c r="G153" s="3" t="str">
        <f>VLOOKUP('[1]New Data'!A220,'[1]New Data'!A:K,11,0)</f>
        <v>Low</v>
      </c>
      <c r="H153" s="4">
        <f>VLOOKUP('[1]New Data'!A220,'[1]New Data'!A:M,13,0)</f>
        <v>45144</v>
      </c>
      <c r="I153" s="5">
        <f>VLOOKUP('[1]New Data'!A220,'[1]New Data'!A:O,15,0)</f>
        <v>9</v>
      </c>
      <c r="J153" s="3">
        <f>VLOOKUP('[1]New Data'!A220,'[1]New Data'!A:P,16,0)</f>
        <v>182.40976219999999</v>
      </c>
      <c r="K153" s="3">
        <f>VLOOKUP('[1]New Data'!A220,'[1]New Data'!A:Q,17,0)</f>
        <v>1641.68786</v>
      </c>
      <c r="L153" s="3" t="str">
        <f>VLOOKUP('[1]New Data'!A153,'[1]New Data'!A:S,19,0)</f>
        <v>Books</v>
      </c>
      <c r="M153" s="3" t="str">
        <f>VLOOKUP('[1]New Data'!A153,'[1]New Data'!A:T,20,0)</f>
        <v>Children's</v>
      </c>
      <c r="N153" s="5">
        <f>VLOOKUP('[1]New Data'!A220,'[1]New Data'!A:Z,25,0)</f>
        <v>2</v>
      </c>
    </row>
    <row r="154" spans="1:14" hidden="1" x14ac:dyDescent="0.35">
      <c r="A154" s="2">
        <v>7708883</v>
      </c>
      <c r="B154" s="2">
        <v>66590</v>
      </c>
      <c r="C154" s="2" t="s">
        <v>170</v>
      </c>
      <c r="D154" s="2" t="s">
        <v>15</v>
      </c>
      <c r="E154" s="3">
        <f>VLOOKUP('[1]New Data'!A469,'[1]New Data'!A:H,8,0)</f>
        <v>23</v>
      </c>
      <c r="F154" s="3" t="str">
        <f>VLOOKUP('[1]New Data'!A469,'[1]New Data'!A:J,10,0)</f>
        <v>Female</v>
      </c>
      <c r="G154" s="3" t="str">
        <f>VLOOKUP('[1]New Data'!A469,'[1]New Data'!A:K,11,0)</f>
        <v>High</v>
      </c>
      <c r="H154" s="4">
        <f>VLOOKUP('[1]New Data'!A469,'[1]New Data'!A:M,13,0)</f>
        <v>45244</v>
      </c>
      <c r="I154" s="5">
        <f>VLOOKUP('[1]New Data'!A469,'[1]New Data'!A:O,15,0)</f>
        <v>6</v>
      </c>
      <c r="J154" s="3">
        <f>VLOOKUP('[1]New Data'!A469,'[1]New Data'!A:P,16,0)</f>
        <v>273.55891930000001</v>
      </c>
      <c r="K154" s="3">
        <f>VLOOKUP('[1]New Data'!A469,'[1]New Data'!A:Q,17,0)</f>
        <v>1641.3535159999999</v>
      </c>
      <c r="L154" s="3" t="str">
        <f>VLOOKUP('[1]New Data'!A154,'[1]New Data'!A:S,19,0)</f>
        <v>Books</v>
      </c>
      <c r="M154" s="3" t="str">
        <f>VLOOKUP('[1]New Data'!A154,'[1]New Data'!A:T,20,0)</f>
        <v>Thriller</v>
      </c>
      <c r="N154" s="5">
        <f>VLOOKUP('[1]New Data'!A469,'[1]New Data'!A:Z,25,0)</f>
        <v>4</v>
      </c>
    </row>
    <row r="155" spans="1:14" x14ac:dyDescent="0.35">
      <c r="A155" s="2">
        <v>7948369</v>
      </c>
      <c r="B155" s="2">
        <v>75143</v>
      </c>
      <c r="C155" s="2" t="s">
        <v>171</v>
      </c>
      <c r="D155" s="2" t="s">
        <v>15</v>
      </c>
      <c r="E155" s="3">
        <f>VLOOKUP('[1]New Data'!A180,'[1]New Data'!A:H,8,0)</f>
        <v>59</v>
      </c>
      <c r="F155" s="3" t="str">
        <f>VLOOKUP('[1]New Data'!A180,'[1]New Data'!A:J,10,0)</f>
        <v>Male</v>
      </c>
      <c r="G155" s="3" t="str">
        <f>VLOOKUP('[1]New Data'!A180,'[1]New Data'!A:K,11,0)</f>
        <v>High</v>
      </c>
      <c r="H155" s="4">
        <f>VLOOKUP('[1]New Data'!A180,'[1]New Data'!A:M,13,0)</f>
        <v>45071</v>
      </c>
      <c r="I155" s="5">
        <f>VLOOKUP('[1]New Data'!A180,'[1]New Data'!A:O,15,0)</f>
        <v>5</v>
      </c>
      <c r="J155" s="3">
        <f>VLOOKUP('[1]New Data'!A180,'[1]New Data'!A:P,16,0)</f>
        <v>327.57690250000002</v>
      </c>
      <c r="K155" s="3">
        <f>VLOOKUP('[1]New Data'!A180,'[1]New Data'!A:Q,17,0)</f>
        <v>1637.884513</v>
      </c>
      <c r="L155" s="3" t="str">
        <f>VLOOKUP('[1]New Data'!A155,'[1]New Data'!A:S,19,0)</f>
        <v>Home Decor</v>
      </c>
      <c r="M155" s="3" t="str">
        <f>VLOOKUP('[1]New Data'!A155,'[1]New Data'!A:T,20,0)</f>
        <v>Furniture</v>
      </c>
      <c r="N155" s="5">
        <f>VLOOKUP('[1]New Data'!A180,'[1]New Data'!A:Z,25,0)</f>
        <v>1</v>
      </c>
    </row>
    <row r="156" spans="1:14" hidden="1" x14ac:dyDescent="0.35">
      <c r="A156" s="2">
        <v>9531502</v>
      </c>
      <c r="B156" s="2">
        <v>97514</v>
      </c>
      <c r="C156" s="2" t="s">
        <v>172</v>
      </c>
      <c r="D156" s="2" t="s">
        <v>15</v>
      </c>
      <c r="E156" s="3">
        <f>VLOOKUP('[1]New Data'!A195,'[1]New Data'!A:H,8,0)</f>
        <v>67</v>
      </c>
      <c r="F156" s="3" t="str">
        <f>VLOOKUP('[1]New Data'!A195,'[1]New Data'!A:J,10,0)</f>
        <v>Male</v>
      </c>
      <c r="G156" s="3" t="str">
        <f>VLOOKUP('[1]New Data'!A195,'[1]New Data'!A:K,11,0)</f>
        <v>Medium</v>
      </c>
      <c r="H156" s="4">
        <f>VLOOKUP('[1]New Data'!A195,'[1]New Data'!A:M,13,0)</f>
        <v>45202</v>
      </c>
      <c r="I156" s="5">
        <f>VLOOKUP('[1]New Data'!A195,'[1]New Data'!A:O,15,0)</f>
        <v>5</v>
      </c>
      <c r="J156" s="3">
        <f>VLOOKUP('[1]New Data'!A195,'[1]New Data'!A:P,16,0)</f>
        <v>326.97308349999997</v>
      </c>
      <c r="K156" s="3">
        <f>VLOOKUP('[1]New Data'!A195,'[1]New Data'!A:Q,17,0)</f>
        <v>1634.865417</v>
      </c>
      <c r="L156" s="3" t="str">
        <f>VLOOKUP('[1]New Data'!A156,'[1]New Data'!A:S,19,0)</f>
        <v>Clothing</v>
      </c>
      <c r="M156" s="3" t="str">
        <f>VLOOKUP('[1]New Data'!A156,'[1]New Data'!A:T,20,0)</f>
        <v>Shirt</v>
      </c>
      <c r="N156" s="5">
        <f>VLOOKUP('[1]New Data'!A195,'[1]New Data'!A:Z,25,0)</f>
        <v>5</v>
      </c>
    </row>
    <row r="157" spans="1:14" hidden="1" x14ac:dyDescent="0.35">
      <c r="A157" s="2">
        <v>9904456</v>
      </c>
      <c r="B157" s="2">
        <v>26241</v>
      </c>
      <c r="C157" s="2" t="s">
        <v>173</v>
      </c>
      <c r="D157" s="2" t="s">
        <v>15</v>
      </c>
      <c r="E157" s="3">
        <f>VLOOKUP('[1]New Data'!A328,'[1]New Data'!A:H,8,0)</f>
        <v>49</v>
      </c>
      <c r="F157" s="3" t="str">
        <f>VLOOKUP('[1]New Data'!A328,'[1]New Data'!A:J,10,0)</f>
        <v>Male</v>
      </c>
      <c r="G157" s="3" t="str">
        <f>VLOOKUP('[1]New Data'!A328,'[1]New Data'!A:K,11,0)</f>
        <v>Low</v>
      </c>
      <c r="H157" s="4">
        <f>VLOOKUP('[1]New Data'!A328,'[1]New Data'!A:M,13,0)</f>
        <v>44997</v>
      </c>
      <c r="I157" s="5">
        <f>VLOOKUP('[1]New Data'!A328,'[1]New Data'!A:O,15,0)</f>
        <v>7</v>
      </c>
      <c r="J157" s="3">
        <f>VLOOKUP('[1]New Data'!A328,'[1]New Data'!A:P,16,0)</f>
        <v>231.9222752</v>
      </c>
      <c r="K157" s="3">
        <f>VLOOKUP('[1]New Data'!A328,'[1]New Data'!A:Q,17,0)</f>
        <v>1623.4559260000001</v>
      </c>
      <c r="L157" s="3" t="str">
        <f>VLOOKUP('[1]New Data'!A157,'[1]New Data'!A:S,19,0)</f>
        <v>Clothing</v>
      </c>
      <c r="M157" s="3" t="str">
        <f>VLOOKUP('[1]New Data'!A157,'[1]New Data'!A:T,20,0)</f>
        <v>Jacket</v>
      </c>
      <c r="N157" s="5">
        <f>VLOOKUP('[1]New Data'!A328,'[1]New Data'!A:Z,25,0)</f>
        <v>3</v>
      </c>
    </row>
    <row r="158" spans="1:14" hidden="1" x14ac:dyDescent="0.35">
      <c r="A158" s="2">
        <v>8984831</v>
      </c>
      <c r="B158" s="2">
        <v>10237</v>
      </c>
      <c r="C158" s="2" t="s">
        <v>174</v>
      </c>
      <c r="D158" s="2" t="s">
        <v>15</v>
      </c>
      <c r="E158" s="3">
        <f>VLOOKUP('[1]New Data'!A177,'[1]New Data'!A:H,8,0)</f>
        <v>64</v>
      </c>
      <c r="F158" s="3" t="str">
        <f>VLOOKUP('[1]New Data'!A177,'[1]New Data'!A:J,10,0)</f>
        <v>Male</v>
      </c>
      <c r="G158" s="3" t="str">
        <f>VLOOKUP('[1]New Data'!A177,'[1]New Data'!A:K,11,0)</f>
        <v>Medium</v>
      </c>
      <c r="H158" s="4">
        <f>VLOOKUP('[1]New Data'!A177,'[1]New Data'!A:M,13,0)</f>
        <v>45007</v>
      </c>
      <c r="I158" s="5">
        <f>VLOOKUP('[1]New Data'!A177,'[1]New Data'!A:O,15,0)</f>
        <v>4</v>
      </c>
      <c r="J158" s="3">
        <f>VLOOKUP('[1]New Data'!A177,'[1]New Data'!A:P,16,0)</f>
        <v>404.8225205</v>
      </c>
      <c r="K158" s="3">
        <f>VLOOKUP('[1]New Data'!A177,'[1]New Data'!A:Q,17,0)</f>
        <v>1619.290082</v>
      </c>
      <c r="L158" s="3" t="str">
        <f>VLOOKUP('[1]New Data'!A158,'[1]New Data'!A:S,19,0)</f>
        <v>Electronics</v>
      </c>
      <c r="M158" s="3" t="str">
        <f>VLOOKUP('[1]New Data'!A158,'[1]New Data'!A:T,20,0)</f>
        <v>Headphones</v>
      </c>
      <c r="N158" s="5">
        <f>VLOOKUP('[1]New Data'!A177,'[1]New Data'!A:Z,25,0)</f>
        <v>2</v>
      </c>
    </row>
    <row r="159" spans="1:14" hidden="1" x14ac:dyDescent="0.35">
      <c r="A159" s="2">
        <v>2846832</v>
      </c>
      <c r="B159" s="2">
        <v>31930</v>
      </c>
      <c r="C159" s="2" t="s">
        <v>175</v>
      </c>
      <c r="D159" s="2" t="s">
        <v>15</v>
      </c>
      <c r="E159" s="3">
        <f>VLOOKUP('[1]New Data'!A14,'[1]New Data'!A:H,8,0)</f>
        <v>56</v>
      </c>
      <c r="F159" s="3" t="str">
        <f>VLOOKUP('[1]New Data'!A14,'[1]New Data'!A:J,10,0)</f>
        <v>Female</v>
      </c>
      <c r="G159" s="3" t="str">
        <f>VLOOKUP('[1]New Data'!A14,'[1]New Data'!A:K,11,0)</f>
        <v>Medium</v>
      </c>
      <c r="H159" s="4">
        <f>VLOOKUP('[1]New Data'!A14,'[1]New Data'!A:M,13,0)</f>
        <v>45293</v>
      </c>
      <c r="I159" s="5">
        <f>VLOOKUP('[1]New Data'!A14,'[1]New Data'!A:O,15,0)</f>
        <v>10</v>
      </c>
      <c r="J159" s="3">
        <f>VLOOKUP('[1]New Data'!A14,'[1]New Data'!A:P,16,0)</f>
        <v>161.87936099999999</v>
      </c>
      <c r="K159" s="3">
        <f>VLOOKUP('[1]New Data'!A14,'[1]New Data'!A:Q,17,0)</f>
        <v>1618.7936099999999</v>
      </c>
      <c r="L159" s="3" t="str">
        <f>VLOOKUP('[1]New Data'!A159,'[1]New Data'!A:S,19,0)</f>
        <v>Clothing</v>
      </c>
      <c r="M159" s="3" t="str">
        <f>VLOOKUP('[1]New Data'!A159,'[1]New Data'!A:T,20,0)</f>
        <v>Shirt</v>
      </c>
      <c r="N159" s="5">
        <f>VLOOKUP('[1]New Data'!A14,'[1]New Data'!A:Z,25,0)</f>
        <v>1</v>
      </c>
    </row>
    <row r="160" spans="1:14" hidden="1" x14ac:dyDescent="0.35">
      <c r="A160" s="2">
        <v>2011310</v>
      </c>
      <c r="B160" s="2">
        <v>75834</v>
      </c>
      <c r="C160" s="2" t="s">
        <v>176</v>
      </c>
      <c r="D160" s="2" t="s">
        <v>15</v>
      </c>
      <c r="E160" s="3">
        <f>VLOOKUP('[1]New Data'!A449,'[1]New Data'!A:H,8,0)</f>
        <v>56</v>
      </c>
      <c r="F160" s="3" t="str">
        <f>VLOOKUP('[1]New Data'!A449,'[1]New Data'!A:J,10,0)</f>
        <v>Male</v>
      </c>
      <c r="G160" s="3" t="str">
        <f>VLOOKUP('[1]New Data'!A449,'[1]New Data'!A:K,11,0)</f>
        <v>Low</v>
      </c>
      <c r="H160" s="4">
        <f>VLOOKUP('[1]New Data'!A449,'[1]New Data'!A:M,13,0)</f>
        <v>45090</v>
      </c>
      <c r="I160" s="5">
        <f>VLOOKUP('[1]New Data'!A449,'[1]New Data'!A:O,15,0)</f>
        <v>7</v>
      </c>
      <c r="J160" s="3">
        <f>VLOOKUP('[1]New Data'!A449,'[1]New Data'!A:P,16,0)</f>
        <v>228.21422029999999</v>
      </c>
      <c r="K160" s="3">
        <f>VLOOKUP('[1]New Data'!A449,'[1]New Data'!A:Q,17,0)</f>
        <v>1597.499542</v>
      </c>
      <c r="L160" s="3" t="str">
        <f>VLOOKUP('[1]New Data'!A160,'[1]New Data'!A:S,19,0)</f>
        <v>Books</v>
      </c>
      <c r="M160" s="3" t="str">
        <f>VLOOKUP('[1]New Data'!A160,'[1]New Data'!A:T,20,0)</f>
        <v>Fiction</v>
      </c>
      <c r="N160" s="5">
        <f>VLOOKUP('[1]New Data'!A449,'[1]New Data'!A:Z,25,0)</f>
        <v>2</v>
      </c>
    </row>
    <row r="161" spans="1:14" hidden="1" x14ac:dyDescent="0.35">
      <c r="A161" s="2">
        <v>2491876</v>
      </c>
      <c r="B161" s="2">
        <v>92174</v>
      </c>
      <c r="C161" s="2" t="s">
        <v>177</v>
      </c>
      <c r="D161" s="2" t="s">
        <v>15</v>
      </c>
      <c r="E161" s="3">
        <f>VLOOKUP('[1]New Data'!A148,'[1]New Data'!A:H,8,0)</f>
        <v>29</v>
      </c>
      <c r="F161" s="3" t="str">
        <f>VLOOKUP('[1]New Data'!A148,'[1]New Data'!A:J,10,0)</f>
        <v>Male</v>
      </c>
      <c r="G161" s="3" t="str">
        <f>VLOOKUP('[1]New Data'!A148,'[1]New Data'!A:K,11,0)</f>
        <v>Medium</v>
      </c>
      <c r="H161" s="4">
        <f>VLOOKUP('[1]New Data'!A148,'[1]New Data'!A:M,13,0)</f>
        <v>45051</v>
      </c>
      <c r="I161" s="5">
        <f>VLOOKUP('[1]New Data'!A148,'[1]New Data'!A:O,15,0)</f>
        <v>5</v>
      </c>
      <c r="J161" s="3">
        <f>VLOOKUP('[1]New Data'!A148,'[1]New Data'!A:P,16,0)</f>
        <v>318.55460540000001</v>
      </c>
      <c r="K161" s="3">
        <f>VLOOKUP('[1]New Data'!A148,'[1]New Data'!A:Q,17,0)</f>
        <v>1592.773027</v>
      </c>
      <c r="L161" s="3" t="str">
        <f>VLOOKUP('[1]New Data'!A161,'[1]New Data'!A:S,19,0)</f>
        <v>Books</v>
      </c>
      <c r="M161" s="3" t="str">
        <f>VLOOKUP('[1]New Data'!A161,'[1]New Data'!A:T,20,0)</f>
        <v>Children's</v>
      </c>
      <c r="N161" s="5">
        <f>VLOOKUP('[1]New Data'!A148,'[1]New Data'!A:Z,25,0)</f>
        <v>2</v>
      </c>
    </row>
    <row r="162" spans="1:14" hidden="1" x14ac:dyDescent="0.35">
      <c r="A162" s="2">
        <v>9334981</v>
      </c>
      <c r="B162" s="2">
        <v>71681</v>
      </c>
      <c r="C162" s="2" t="s">
        <v>178</v>
      </c>
      <c r="D162" s="2" t="s">
        <v>15</v>
      </c>
      <c r="E162" s="3">
        <f>VLOOKUP('[1]New Data'!A130,'[1]New Data'!A:H,8,0)</f>
        <v>49</v>
      </c>
      <c r="F162" s="3" t="str">
        <f>VLOOKUP('[1]New Data'!A130,'[1]New Data'!A:J,10,0)</f>
        <v>Male</v>
      </c>
      <c r="G162" s="3" t="str">
        <f>VLOOKUP('[1]New Data'!A130,'[1]New Data'!A:K,11,0)</f>
        <v>Medium</v>
      </c>
      <c r="H162" s="4">
        <f>VLOOKUP('[1]New Data'!A130,'[1]New Data'!A:M,13,0)</f>
        <v>45180</v>
      </c>
      <c r="I162" s="5">
        <f>VLOOKUP('[1]New Data'!A130,'[1]New Data'!A:O,15,0)</f>
        <v>5</v>
      </c>
      <c r="J162" s="3">
        <f>VLOOKUP('[1]New Data'!A130,'[1]New Data'!A:P,16,0)</f>
        <v>318.44965889999997</v>
      </c>
      <c r="K162" s="3">
        <f>VLOOKUP('[1]New Data'!A130,'[1]New Data'!A:Q,17,0)</f>
        <v>1592.248294</v>
      </c>
      <c r="L162" s="3" t="str">
        <f>VLOOKUP('[1]New Data'!A162,'[1]New Data'!A:S,19,0)</f>
        <v>Clothing</v>
      </c>
      <c r="M162" s="3" t="str">
        <f>VLOOKUP('[1]New Data'!A162,'[1]New Data'!A:T,20,0)</f>
        <v>Jeans</v>
      </c>
      <c r="N162" s="5">
        <f>VLOOKUP('[1]New Data'!A130,'[1]New Data'!A:Z,25,0)</f>
        <v>2</v>
      </c>
    </row>
    <row r="163" spans="1:14" hidden="1" x14ac:dyDescent="0.35">
      <c r="A163" s="2">
        <v>5617367</v>
      </c>
      <c r="B163" s="2">
        <v>82021</v>
      </c>
      <c r="C163" s="2" t="s">
        <v>179</v>
      </c>
      <c r="D163" s="2" t="s">
        <v>15</v>
      </c>
      <c r="E163" s="3">
        <f>VLOOKUP('[1]New Data'!A424,'[1]New Data'!A:H,8,0)</f>
        <v>40</v>
      </c>
      <c r="F163" s="3" t="str">
        <f>VLOOKUP('[1]New Data'!A424,'[1]New Data'!A:J,10,0)</f>
        <v>Female</v>
      </c>
      <c r="G163" s="3" t="str">
        <f>VLOOKUP('[1]New Data'!A424,'[1]New Data'!A:K,11,0)</f>
        <v>Low</v>
      </c>
      <c r="H163" s="4">
        <f>VLOOKUP('[1]New Data'!A424,'[1]New Data'!A:M,13,0)</f>
        <v>45168</v>
      </c>
      <c r="I163" s="5">
        <f>VLOOKUP('[1]New Data'!A424,'[1]New Data'!A:O,15,0)</f>
        <v>10</v>
      </c>
      <c r="J163" s="3">
        <f>VLOOKUP('[1]New Data'!A424,'[1]New Data'!A:P,16,0)</f>
        <v>157.34369659999999</v>
      </c>
      <c r="K163" s="3">
        <f>VLOOKUP('[1]New Data'!A424,'[1]New Data'!A:Q,17,0)</f>
        <v>1573.436966</v>
      </c>
      <c r="L163" s="3" t="str">
        <f>VLOOKUP('[1]New Data'!A163,'[1]New Data'!A:S,19,0)</f>
        <v>Books</v>
      </c>
      <c r="M163" s="3" t="str">
        <f>VLOOKUP('[1]New Data'!A163,'[1]New Data'!A:T,20,0)</f>
        <v>Thriller</v>
      </c>
      <c r="N163" s="5">
        <f>VLOOKUP('[1]New Data'!A424,'[1]New Data'!A:Z,25,0)</f>
        <v>1</v>
      </c>
    </row>
    <row r="164" spans="1:14" hidden="1" x14ac:dyDescent="0.35">
      <c r="A164" s="2">
        <v>2780785</v>
      </c>
      <c r="B164" s="2">
        <v>28689</v>
      </c>
      <c r="C164" s="2" t="s">
        <v>180</v>
      </c>
      <c r="D164" s="2" t="s">
        <v>15</v>
      </c>
      <c r="E164" s="3">
        <f>VLOOKUP('[1]New Data'!A163,'[1]New Data'!A:H,8,0)</f>
        <v>37</v>
      </c>
      <c r="F164" s="3" t="str">
        <f>VLOOKUP('[1]New Data'!A163,'[1]New Data'!A:J,10,0)</f>
        <v>Female</v>
      </c>
      <c r="G164" s="3" t="str">
        <f>VLOOKUP('[1]New Data'!A163,'[1]New Data'!A:K,11,0)</f>
        <v>High</v>
      </c>
      <c r="H164" s="4">
        <f>VLOOKUP('[1]New Data'!A163,'[1]New Data'!A:M,13,0)</f>
        <v>45079</v>
      </c>
      <c r="I164" s="5">
        <f>VLOOKUP('[1]New Data'!A163,'[1]New Data'!A:O,15,0)</f>
        <v>8</v>
      </c>
      <c r="J164" s="3">
        <f>VLOOKUP('[1]New Data'!A163,'[1]New Data'!A:P,16,0)</f>
        <v>196.3245186</v>
      </c>
      <c r="K164" s="3">
        <f>VLOOKUP('[1]New Data'!A163,'[1]New Data'!A:Q,17,0)</f>
        <v>1570.596149</v>
      </c>
      <c r="L164" s="3" t="str">
        <f>VLOOKUP('[1]New Data'!A164,'[1]New Data'!A:S,19,0)</f>
        <v>Electronics</v>
      </c>
      <c r="M164" s="3" t="str">
        <f>VLOOKUP('[1]New Data'!A164,'[1]New Data'!A:T,20,0)</f>
        <v>Smartphone</v>
      </c>
      <c r="N164" s="5">
        <f>VLOOKUP('[1]New Data'!A163,'[1]New Data'!A:Z,25,0)</f>
        <v>1</v>
      </c>
    </row>
    <row r="165" spans="1:14" x14ac:dyDescent="0.35">
      <c r="A165" s="2">
        <v>9596556</v>
      </c>
      <c r="B165" s="2">
        <v>36083</v>
      </c>
      <c r="C165" s="2" t="s">
        <v>181</v>
      </c>
      <c r="D165" s="2" t="s">
        <v>15</v>
      </c>
      <c r="E165" s="3">
        <f>VLOOKUP('[1]New Data'!A264,'[1]New Data'!A:H,8,0)</f>
        <v>69</v>
      </c>
      <c r="F165" s="3" t="str">
        <f>VLOOKUP('[1]New Data'!A264,'[1]New Data'!A:J,10,0)</f>
        <v>Female</v>
      </c>
      <c r="G165" s="3" t="str">
        <f>VLOOKUP('[1]New Data'!A264,'[1]New Data'!A:K,11,0)</f>
        <v>Medium</v>
      </c>
      <c r="H165" s="4">
        <f>VLOOKUP('[1]New Data'!A264,'[1]New Data'!A:M,13,0)</f>
        <v>45001</v>
      </c>
      <c r="I165" s="5">
        <f>VLOOKUP('[1]New Data'!A264,'[1]New Data'!A:O,15,0)</f>
        <v>7</v>
      </c>
      <c r="J165" s="3">
        <f>VLOOKUP('[1]New Data'!A264,'[1]New Data'!A:P,16,0)</f>
        <v>222.91311350000001</v>
      </c>
      <c r="K165" s="3">
        <f>VLOOKUP('[1]New Data'!A264,'[1]New Data'!A:Q,17,0)</f>
        <v>1560.3917939999999</v>
      </c>
      <c r="L165" s="3" t="str">
        <f>VLOOKUP('[1]New Data'!A165,'[1]New Data'!A:S,19,0)</f>
        <v>Home Decor</v>
      </c>
      <c r="M165" s="3" t="str">
        <f>VLOOKUP('[1]New Data'!A165,'[1]New Data'!A:T,20,0)</f>
        <v>Furniture</v>
      </c>
      <c r="N165" s="5">
        <f>VLOOKUP('[1]New Data'!A264,'[1]New Data'!A:Z,25,0)</f>
        <v>5</v>
      </c>
    </row>
    <row r="166" spans="1:14" hidden="1" x14ac:dyDescent="0.35">
      <c r="A166" s="2">
        <v>5670261</v>
      </c>
      <c r="B166" s="2">
        <v>14341</v>
      </c>
      <c r="C166" s="2" t="s">
        <v>182</v>
      </c>
      <c r="D166" s="2" t="s">
        <v>15</v>
      </c>
      <c r="E166" s="3">
        <f>VLOOKUP('[1]New Data'!A456,'[1]New Data'!A:H,8,0)</f>
        <v>57</v>
      </c>
      <c r="F166" s="3" t="str">
        <f>VLOOKUP('[1]New Data'!A456,'[1]New Data'!A:J,10,0)</f>
        <v>Female</v>
      </c>
      <c r="G166" s="3" t="str">
        <f>VLOOKUP('[1]New Data'!A456,'[1]New Data'!A:K,11,0)</f>
        <v>Low</v>
      </c>
      <c r="H166" s="4">
        <f>VLOOKUP('[1]New Data'!A456,'[1]New Data'!A:M,13,0)</f>
        <v>45120</v>
      </c>
      <c r="I166" s="5">
        <f>VLOOKUP('[1]New Data'!A456,'[1]New Data'!A:O,15,0)</f>
        <v>4</v>
      </c>
      <c r="J166" s="3">
        <f>VLOOKUP('[1]New Data'!A456,'[1]New Data'!A:P,16,0)</f>
        <v>389.85740249999998</v>
      </c>
      <c r="K166" s="3">
        <f>VLOOKUP('[1]New Data'!A456,'[1]New Data'!A:Q,17,0)</f>
        <v>1559.4296099999999</v>
      </c>
      <c r="L166" s="3" t="str">
        <f>VLOOKUP('[1]New Data'!A166,'[1]New Data'!A:S,19,0)</f>
        <v>Books</v>
      </c>
      <c r="M166" s="3" t="str">
        <f>VLOOKUP('[1]New Data'!A166,'[1]New Data'!A:T,20,0)</f>
        <v>Children's</v>
      </c>
      <c r="N166" s="5">
        <f>VLOOKUP('[1]New Data'!A456,'[1]New Data'!A:Z,25,0)</f>
        <v>4</v>
      </c>
    </row>
    <row r="167" spans="1:14" hidden="1" x14ac:dyDescent="0.35">
      <c r="A167" s="2">
        <v>5514598</v>
      </c>
      <c r="B167" s="2">
        <v>38195</v>
      </c>
      <c r="C167" s="2" t="s">
        <v>183</v>
      </c>
      <c r="D167" s="2" t="s">
        <v>15</v>
      </c>
      <c r="E167" s="3">
        <f>VLOOKUP('[1]New Data'!A400,'[1]New Data'!A:H,8,0)</f>
        <v>62</v>
      </c>
      <c r="F167" s="3" t="str">
        <f>VLOOKUP('[1]New Data'!A400,'[1]New Data'!A:J,10,0)</f>
        <v>Male</v>
      </c>
      <c r="G167" s="3" t="str">
        <f>VLOOKUP('[1]New Data'!A400,'[1]New Data'!A:K,11,0)</f>
        <v>Medium</v>
      </c>
      <c r="H167" s="4">
        <f>VLOOKUP('[1]New Data'!A400,'[1]New Data'!A:M,13,0)</f>
        <v>45331</v>
      </c>
      <c r="I167" s="5">
        <f>VLOOKUP('[1]New Data'!A400,'[1]New Data'!A:O,15,0)</f>
        <v>10</v>
      </c>
      <c r="J167" s="3">
        <f>VLOOKUP('[1]New Data'!A400,'[1]New Data'!A:P,16,0)</f>
        <v>155.63393160000001</v>
      </c>
      <c r="K167" s="3">
        <f>VLOOKUP('[1]New Data'!A400,'[1]New Data'!A:Q,17,0)</f>
        <v>1556.3393160000001</v>
      </c>
      <c r="L167" s="3" t="str">
        <f>VLOOKUP('[1]New Data'!A167,'[1]New Data'!A:S,19,0)</f>
        <v>Grocery</v>
      </c>
      <c r="M167" s="3" t="str">
        <f>VLOOKUP('[1]New Data'!A167,'[1]New Data'!A:T,20,0)</f>
        <v>Water</v>
      </c>
      <c r="N167" s="5">
        <f>VLOOKUP('[1]New Data'!A400,'[1]New Data'!A:Z,25,0)</f>
        <v>2</v>
      </c>
    </row>
    <row r="168" spans="1:14" hidden="1" x14ac:dyDescent="0.35">
      <c r="A168" s="2">
        <v>3258024</v>
      </c>
      <c r="B168" s="2">
        <v>92619</v>
      </c>
      <c r="C168" s="2" t="s">
        <v>184</v>
      </c>
      <c r="D168" s="2" t="s">
        <v>15</v>
      </c>
      <c r="E168" s="3">
        <f>VLOOKUP('[1]New Data'!A291,'[1]New Data'!A:H,8,0)</f>
        <v>67</v>
      </c>
      <c r="F168" s="3" t="str">
        <f>VLOOKUP('[1]New Data'!A291,'[1]New Data'!A:J,10,0)</f>
        <v>Male</v>
      </c>
      <c r="G168" s="3" t="str">
        <f>VLOOKUP('[1]New Data'!A291,'[1]New Data'!A:K,11,0)</f>
        <v>High</v>
      </c>
      <c r="H168" s="4">
        <f>VLOOKUP('[1]New Data'!A291,'[1]New Data'!A:M,13,0)</f>
        <v>45171</v>
      </c>
      <c r="I168" s="5">
        <f>VLOOKUP('[1]New Data'!A291,'[1]New Data'!A:O,15,0)</f>
        <v>5</v>
      </c>
      <c r="J168" s="3">
        <f>VLOOKUP('[1]New Data'!A291,'[1]New Data'!A:P,16,0)</f>
        <v>311.07746689999999</v>
      </c>
      <c r="K168" s="3">
        <f>VLOOKUP('[1]New Data'!A291,'[1]New Data'!A:Q,17,0)</f>
        <v>1555.387334</v>
      </c>
      <c r="L168" s="3" t="str">
        <f>VLOOKUP('[1]New Data'!A168,'[1]New Data'!A:S,19,0)</f>
        <v>Grocery</v>
      </c>
      <c r="M168" s="3" t="str">
        <f>VLOOKUP('[1]New Data'!A168,'[1]New Data'!A:T,20,0)</f>
        <v>Juice</v>
      </c>
      <c r="N168" s="5">
        <f>VLOOKUP('[1]New Data'!A291,'[1]New Data'!A:Z,25,0)</f>
        <v>3</v>
      </c>
    </row>
    <row r="169" spans="1:14" x14ac:dyDescent="0.35">
      <c r="A169" s="2">
        <v>2973546</v>
      </c>
      <c r="B169" s="2">
        <v>63588</v>
      </c>
      <c r="C169" s="2" t="s">
        <v>185</v>
      </c>
      <c r="D169" s="2" t="s">
        <v>15</v>
      </c>
      <c r="E169" s="3">
        <f>VLOOKUP('[1]New Data'!A385,'[1]New Data'!A:H,8,0)</f>
        <v>40</v>
      </c>
      <c r="F169" s="3" t="str">
        <f>VLOOKUP('[1]New Data'!A385,'[1]New Data'!A:J,10,0)</f>
        <v>Female</v>
      </c>
      <c r="G169" s="3" t="str">
        <f>VLOOKUP('[1]New Data'!A385,'[1]New Data'!A:K,11,0)</f>
        <v>Low</v>
      </c>
      <c r="H169" s="4">
        <f>VLOOKUP('[1]New Data'!A385,'[1]New Data'!A:M,13,0)</f>
        <v>45213</v>
      </c>
      <c r="I169" s="5">
        <f>VLOOKUP('[1]New Data'!A385,'[1]New Data'!A:O,15,0)</f>
        <v>4</v>
      </c>
      <c r="J169" s="3">
        <f>VLOOKUP('[1]New Data'!A385,'[1]New Data'!A:P,16,0)</f>
        <v>388.21224990000002</v>
      </c>
      <c r="K169" s="3">
        <f>VLOOKUP('[1]New Data'!A385,'[1]New Data'!A:Q,17,0)</f>
        <v>1552.848999</v>
      </c>
      <c r="L169" s="3" t="str">
        <f>VLOOKUP('[1]New Data'!A169,'[1]New Data'!A:S,19,0)</f>
        <v>Home Decor</v>
      </c>
      <c r="M169" s="3" t="str">
        <f>VLOOKUP('[1]New Data'!A169,'[1]New Data'!A:T,20,0)</f>
        <v>Decorations</v>
      </c>
      <c r="N169" s="5">
        <f>VLOOKUP('[1]New Data'!A385,'[1]New Data'!A:Z,25,0)</f>
        <v>3</v>
      </c>
    </row>
    <row r="170" spans="1:14" hidden="1" x14ac:dyDescent="0.35">
      <c r="A170" s="2">
        <v>3830823</v>
      </c>
      <c r="B170" s="2">
        <v>76742</v>
      </c>
      <c r="C170" s="2" t="s">
        <v>186</v>
      </c>
      <c r="D170" s="2" t="s">
        <v>15</v>
      </c>
      <c r="E170" s="3">
        <f>VLOOKUP('[1]New Data'!A203,'[1]New Data'!A:H,8,0)</f>
        <v>57</v>
      </c>
      <c r="F170" s="3" t="str">
        <f>VLOOKUP('[1]New Data'!A203,'[1]New Data'!A:J,10,0)</f>
        <v>Female</v>
      </c>
      <c r="G170" s="3" t="str">
        <f>VLOOKUP('[1]New Data'!A203,'[1]New Data'!A:K,11,0)</f>
        <v>Medium</v>
      </c>
      <c r="H170" s="4">
        <f>VLOOKUP('[1]New Data'!A203,'[1]New Data'!A:M,13,0)</f>
        <v>45351</v>
      </c>
      <c r="I170" s="5">
        <f>VLOOKUP('[1]New Data'!A203,'[1]New Data'!A:O,15,0)</f>
        <v>4</v>
      </c>
      <c r="J170" s="3">
        <f>VLOOKUP('[1]New Data'!A203,'[1]New Data'!A:P,16,0)</f>
        <v>385.82724200000001</v>
      </c>
      <c r="K170" s="3">
        <f>VLOOKUP('[1]New Data'!A203,'[1]New Data'!A:Q,17,0)</f>
        <v>1543.308968</v>
      </c>
      <c r="L170" s="3" t="str">
        <f>VLOOKUP('[1]New Data'!A170,'[1]New Data'!A:S,19,0)</f>
        <v>Clothing</v>
      </c>
      <c r="M170" s="3" t="str">
        <f>VLOOKUP('[1]New Data'!A170,'[1]New Data'!A:T,20,0)</f>
        <v>Shorts</v>
      </c>
      <c r="N170" s="5">
        <f>VLOOKUP('[1]New Data'!A203,'[1]New Data'!A:Z,25,0)</f>
        <v>1</v>
      </c>
    </row>
    <row r="171" spans="1:14" hidden="1" x14ac:dyDescent="0.35">
      <c r="A171" s="2">
        <v>4213879</v>
      </c>
      <c r="B171" s="2">
        <v>30165</v>
      </c>
      <c r="C171" s="2" t="s">
        <v>187</v>
      </c>
      <c r="D171" s="2" t="s">
        <v>15</v>
      </c>
      <c r="E171" s="3">
        <f>VLOOKUP('[1]New Data'!A497,'[1]New Data'!A:H,8,0)</f>
        <v>34</v>
      </c>
      <c r="F171" s="3" t="str">
        <f>VLOOKUP('[1]New Data'!A497,'[1]New Data'!A:J,10,0)</f>
        <v>Male</v>
      </c>
      <c r="G171" s="3" t="str">
        <f>VLOOKUP('[1]New Data'!A497,'[1]New Data'!A:K,11,0)</f>
        <v>High</v>
      </c>
      <c r="H171" s="4">
        <f>VLOOKUP('[1]New Data'!A497,'[1]New Data'!A:M,13,0)</f>
        <v>44990</v>
      </c>
      <c r="I171" s="5">
        <f>VLOOKUP('[1]New Data'!A497,'[1]New Data'!A:O,15,0)</f>
        <v>4</v>
      </c>
      <c r="J171" s="3">
        <f>VLOOKUP('[1]New Data'!A497,'[1]New Data'!A:P,16,0)</f>
        <v>381.7902661</v>
      </c>
      <c r="K171" s="3">
        <f>VLOOKUP('[1]New Data'!A497,'[1]New Data'!A:Q,17,0)</f>
        <v>1527.1610639999999</v>
      </c>
      <c r="L171" s="3" t="str">
        <f>VLOOKUP('[1]New Data'!A171,'[1]New Data'!A:S,19,0)</f>
        <v>Electronics</v>
      </c>
      <c r="M171" s="3" t="str">
        <f>VLOOKUP('[1]New Data'!A171,'[1]New Data'!A:T,20,0)</f>
        <v>Tablet</v>
      </c>
      <c r="N171" s="5">
        <f>VLOOKUP('[1]New Data'!A497,'[1]New Data'!A:Z,25,0)</f>
        <v>4</v>
      </c>
    </row>
    <row r="172" spans="1:14" hidden="1" x14ac:dyDescent="0.35">
      <c r="A172" s="2">
        <v>5943482</v>
      </c>
      <c r="B172" s="2">
        <v>31054</v>
      </c>
      <c r="C172" s="2" t="s">
        <v>188</v>
      </c>
      <c r="D172" s="2" t="s">
        <v>15</v>
      </c>
      <c r="E172" s="3">
        <f>VLOOKUP('[1]New Data'!A127,'[1]New Data'!A:H,8,0)</f>
        <v>56</v>
      </c>
      <c r="F172" s="3" t="str">
        <f>VLOOKUP('[1]New Data'!A127,'[1]New Data'!A:J,10,0)</f>
        <v>Female</v>
      </c>
      <c r="G172" s="3" t="str">
        <f>VLOOKUP('[1]New Data'!A127,'[1]New Data'!A:K,11,0)</f>
        <v>Medium</v>
      </c>
      <c r="H172" s="4">
        <f>VLOOKUP('[1]New Data'!A127,'[1]New Data'!A:M,13,0)</f>
        <v>45275</v>
      </c>
      <c r="I172" s="5">
        <f>VLOOKUP('[1]New Data'!A127,'[1]New Data'!A:O,15,0)</f>
        <v>9</v>
      </c>
      <c r="J172" s="3">
        <f>VLOOKUP('[1]New Data'!A127,'[1]New Data'!A:P,16,0)</f>
        <v>167.73378539999999</v>
      </c>
      <c r="K172" s="3">
        <f>VLOOKUP('[1]New Data'!A127,'[1]New Data'!A:Q,17,0)</f>
        <v>1509.6040680000001</v>
      </c>
      <c r="L172" s="3" t="str">
        <f>VLOOKUP('[1]New Data'!A172,'[1]New Data'!A:S,19,0)</f>
        <v>Grocery</v>
      </c>
      <c r="M172" s="3" t="str">
        <f>VLOOKUP('[1]New Data'!A172,'[1]New Data'!A:T,20,0)</f>
        <v>Chocolate</v>
      </c>
      <c r="N172" s="5">
        <f>VLOOKUP('[1]New Data'!A127,'[1]New Data'!A:Z,25,0)</f>
        <v>3</v>
      </c>
    </row>
    <row r="173" spans="1:14" hidden="1" x14ac:dyDescent="0.35">
      <c r="A173" s="2">
        <v>2798736</v>
      </c>
      <c r="B173" s="2">
        <v>29257</v>
      </c>
      <c r="C173" s="2" t="s">
        <v>189</v>
      </c>
      <c r="D173" s="2" t="s">
        <v>15</v>
      </c>
      <c r="E173" s="3">
        <f>VLOOKUP('[1]New Data'!A477,'[1]New Data'!A:H,8,0)</f>
        <v>65</v>
      </c>
      <c r="F173" s="3" t="str">
        <f>VLOOKUP('[1]New Data'!A477,'[1]New Data'!A:J,10,0)</f>
        <v>Female</v>
      </c>
      <c r="G173" s="3" t="str">
        <f>VLOOKUP('[1]New Data'!A477,'[1]New Data'!A:K,11,0)</f>
        <v>Medium</v>
      </c>
      <c r="H173" s="4">
        <f>VLOOKUP('[1]New Data'!A477,'[1]New Data'!A:M,13,0)</f>
        <v>45184</v>
      </c>
      <c r="I173" s="5">
        <f>VLOOKUP('[1]New Data'!A477,'[1]New Data'!A:O,15,0)</f>
        <v>8</v>
      </c>
      <c r="J173" s="3">
        <f>VLOOKUP('[1]New Data'!A477,'[1]New Data'!A:P,16,0)</f>
        <v>186.1900665</v>
      </c>
      <c r="K173" s="3">
        <f>VLOOKUP('[1]New Data'!A477,'[1]New Data'!A:Q,17,0)</f>
        <v>1489.520532</v>
      </c>
      <c r="L173" s="3" t="str">
        <f>VLOOKUP('[1]New Data'!A173,'[1]New Data'!A:S,19,0)</f>
        <v>Electronics</v>
      </c>
      <c r="M173" s="3" t="str">
        <f>VLOOKUP('[1]New Data'!A173,'[1]New Data'!A:T,20,0)</f>
        <v>Smartphone</v>
      </c>
      <c r="N173" s="5">
        <f>VLOOKUP('[1]New Data'!A477,'[1]New Data'!A:Z,25,0)</f>
        <v>2</v>
      </c>
    </row>
    <row r="174" spans="1:14" hidden="1" x14ac:dyDescent="0.35">
      <c r="A174" s="2">
        <v>9169342</v>
      </c>
      <c r="B174" s="2">
        <v>40091</v>
      </c>
      <c r="C174" s="2" t="s">
        <v>190</v>
      </c>
      <c r="D174" s="2" t="s">
        <v>15</v>
      </c>
      <c r="E174" s="3">
        <f>VLOOKUP('[1]New Data'!A404,'[1]New Data'!A:H,8,0)</f>
        <v>54</v>
      </c>
      <c r="F174" s="3" t="str">
        <f>VLOOKUP('[1]New Data'!A404,'[1]New Data'!A:J,10,0)</f>
        <v>Male</v>
      </c>
      <c r="G174" s="3" t="str">
        <f>VLOOKUP('[1]New Data'!A404,'[1]New Data'!A:K,11,0)</f>
        <v>Medium</v>
      </c>
      <c r="H174" s="4">
        <f>VLOOKUP('[1]New Data'!A404,'[1]New Data'!A:M,13,0)</f>
        <v>45263</v>
      </c>
      <c r="I174" s="5">
        <f>VLOOKUP('[1]New Data'!A404,'[1]New Data'!A:O,15,0)</f>
        <v>6</v>
      </c>
      <c r="J174" s="3">
        <f>VLOOKUP('[1]New Data'!A404,'[1]New Data'!A:P,16,0)</f>
        <v>248.07918050000001</v>
      </c>
      <c r="K174" s="3">
        <f>VLOOKUP('[1]New Data'!A404,'[1]New Data'!A:Q,17,0)</f>
        <v>1488.475083</v>
      </c>
      <c r="L174" s="3" t="str">
        <f>VLOOKUP('[1]New Data'!A174,'[1]New Data'!A:S,19,0)</f>
        <v>Clothing</v>
      </c>
      <c r="M174" s="3" t="str">
        <f>VLOOKUP('[1]New Data'!A174,'[1]New Data'!A:T,20,0)</f>
        <v>Shoes</v>
      </c>
      <c r="N174" s="5">
        <f>VLOOKUP('[1]New Data'!A404,'[1]New Data'!A:Z,25,0)</f>
        <v>1</v>
      </c>
    </row>
    <row r="175" spans="1:14" hidden="1" x14ac:dyDescent="0.35">
      <c r="A175" s="2">
        <v>6989571</v>
      </c>
      <c r="B175" s="2">
        <v>25041</v>
      </c>
      <c r="C175" s="2" t="s">
        <v>191</v>
      </c>
      <c r="D175" s="2" t="s">
        <v>15</v>
      </c>
      <c r="E175" s="3">
        <f>VLOOKUP('[1]New Data'!A344,'[1]New Data'!A:H,8,0)</f>
        <v>27</v>
      </c>
      <c r="F175" s="3" t="str">
        <f>VLOOKUP('[1]New Data'!A344,'[1]New Data'!A:J,10,0)</f>
        <v>Female</v>
      </c>
      <c r="G175" s="3" t="str">
        <f>VLOOKUP('[1]New Data'!A344,'[1]New Data'!A:K,11,0)</f>
        <v>High</v>
      </c>
      <c r="H175" s="4">
        <f>VLOOKUP('[1]New Data'!A344,'[1]New Data'!A:M,13,0)</f>
        <v>45020</v>
      </c>
      <c r="I175" s="5">
        <f>VLOOKUP('[1]New Data'!A344,'[1]New Data'!A:O,15,0)</f>
        <v>7</v>
      </c>
      <c r="J175" s="3">
        <f>VLOOKUP('[1]New Data'!A344,'[1]New Data'!A:P,16,0)</f>
        <v>211.74806340000001</v>
      </c>
      <c r="K175" s="3">
        <f>VLOOKUP('[1]New Data'!A344,'[1]New Data'!A:Q,17,0)</f>
        <v>1482.2364439999999</v>
      </c>
      <c r="L175" s="3" t="str">
        <f>VLOOKUP('[1]New Data'!A175,'[1]New Data'!A:S,19,0)</f>
        <v>Electronics</v>
      </c>
      <c r="M175" s="3" t="str">
        <f>VLOOKUP('[1]New Data'!A175,'[1]New Data'!A:T,20,0)</f>
        <v>Television</v>
      </c>
      <c r="N175" s="5">
        <f>VLOOKUP('[1]New Data'!A344,'[1]New Data'!A:Z,25,0)</f>
        <v>5</v>
      </c>
    </row>
    <row r="176" spans="1:14" hidden="1" x14ac:dyDescent="0.35">
      <c r="A176" s="2">
        <v>6650415</v>
      </c>
      <c r="B176" s="2">
        <v>98788</v>
      </c>
      <c r="C176" s="2" t="s">
        <v>192</v>
      </c>
      <c r="D176" s="2" t="s">
        <v>15</v>
      </c>
      <c r="E176" s="3">
        <f>VLOOKUP('[1]New Data'!A87,'[1]New Data'!A:H,8,0)</f>
        <v>29</v>
      </c>
      <c r="F176" s="3" t="str">
        <f>VLOOKUP('[1]New Data'!A87,'[1]New Data'!A:J,10,0)</f>
        <v>Male</v>
      </c>
      <c r="G176" s="3" t="str">
        <f>VLOOKUP('[1]New Data'!A87,'[1]New Data'!A:K,11,0)</f>
        <v>Medium</v>
      </c>
      <c r="H176" s="4">
        <f>VLOOKUP('[1]New Data'!A87,'[1]New Data'!A:M,13,0)</f>
        <v>45172</v>
      </c>
      <c r="I176" s="5">
        <f>VLOOKUP('[1]New Data'!A87,'[1]New Data'!A:O,15,0)</f>
        <v>10</v>
      </c>
      <c r="J176" s="3">
        <f>VLOOKUP('[1]New Data'!A87,'[1]New Data'!A:P,16,0)</f>
        <v>147.88453580000001</v>
      </c>
      <c r="K176" s="3">
        <f>VLOOKUP('[1]New Data'!A87,'[1]New Data'!A:Q,17,0)</f>
        <v>1478.845358</v>
      </c>
      <c r="L176" s="3" t="str">
        <f>VLOOKUP('[1]New Data'!A176,'[1]New Data'!A:S,19,0)</f>
        <v>Grocery</v>
      </c>
      <c r="M176" s="3" t="str">
        <f>VLOOKUP('[1]New Data'!A176,'[1]New Data'!A:T,20,0)</f>
        <v>Water</v>
      </c>
      <c r="N176" s="5">
        <f>VLOOKUP('[1]New Data'!A87,'[1]New Data'!A:Z,25,0)</f>
        <v>2</v>
      </c>
    </row>
    <row r="177" spans="1:14" hidden="1" x14ac:dyDescent="0.35">
      <c r="A177" s="2">
        <v>5480322</v>
      </c>
      <c r="B177" s="2">
        <v>72352</v>
      </c>
      <c r="C177" s="2" t="s">
        <v>193</v>
      </c>
      <c r="D177" s="2" t="s">
        <v>15</v>
      </c>
      <c r="E177" s="3">
        <f>VLOOKUP('[1]New Data'!A211,'[1]New Data'!A:H,8,0)</f>
        <v>51</v>
      </c>
      <c r="F177" s="3" t="str">
        <f>VLOOKUP('[1]New Data'!A211,'[1]New Data'!A:J,10,0)</f>
        <v>Female</v>
      </c>
      <c r="G177" s="3" t="str">
        <f>VLOOKUP('[1]New Data'!A211,'[1]New Data'!A:K,11,0)</f>
        <v>Medium</v>
      </c>
      <c r="H177" s="4">
        <f>VLOOKUP('[1]New Data'!A211,'[1]New Data'!A:M,13,0)</f>
        <v>45283</v>
      </c>
      <c r="I177" s="5">
        <f>VLOOKUP('[1]New Data'!A211,'[1]New Data'!A:O,15,0)</f>
        <v>3</v>
      </c>
      <c r="J177" s="3">
        <f>VLOOKUP('[1]New Data'!A211,'[1]New Data'!A:P,16,0)</f>
        <v>492.45287569999999</v>
      </c>
      <c r="K177" s="3">
        <f>VLOOKUP('[1]New Data'!A211,'[1]New Data'!A:Q,17,0)</f>
        <v>1477.3586270000001</v>
      </c>
      <c r="L177" s="3" t="str">
        <f>VLOOKUP('[1]New Data'!A177,'[1]New Data'!A:S,19,0)</f>
        <v>Books</v>
      </c>
      <c r="M177" s="3" t="str">
        <f>VLOOKUP('[1]New Data'!A177,'[1]New Data'!A:T,20,0)</f>
        <v>Literature</v>
      </c>
      <c r="N177" s="5">
        <f>VLOOKUP('[1]New Data'!A211,'[1]New Data'!A:Z,25,0)</f>
        <v>5</v>
      </c>
    </row>
    <row r="178" spans="1:14" hidden="1" x14ac:dyDescent="0.35">
      <c r="A178" s="2">
        <v>3134820</v>
      </c>
      <c r="B178" s="2">
        <v>13629</v>
      </c>
      <c r="C178" s="2" t="s">
        <v>194</v>
      </c>
      <c r="D178" s="2" t="s">
        <v>15</v>
      </c>
      <c r="E178" s="3">
        <f>VLOOKUP('[1]New Data'!A136,'[1]New Data'!A:H,8,0)</f>
        <v>48</v>
      </c>
      <c r="F178" s="3" t="str">
        <f>VLOOKUP('[1]New Data'!A136,'[1]New Data'!A:J,10,0)</f>
        <v>Male</v>
      </c>
      <c r="G178" s="3" t="str">
        <f>VLOOKUP('[1]New Data'!A136,'[1]New Data'!A:K,11,0)</f>
        <v>Medium</v>
      </c>
      <c r="H178" s="4">
        <f>VLOOKUP('[1]New Data'!A136,'[1]New Data'!A:M,13,0)</f>
        <v>45183</v>
      </c>
      <c r="I178" s="5">
        <f>VLOOKUP('[1]New Data'!A136,'[1]New Data'!A:O,15,0)</f>
        <v>5</v>
      </c>
      <c r="J178" s="3">
        <f>VLOOKUP('[1]New Data'!A136,'[1]New Data'!A:P,16,0)</f>
        <v>291.43283730000002</v>
      </c>
      <c r="K178" s="3">
        <f>VLOOKUP('[1]New Data'!A136,'[1]New Data'!A:Q,17,0)</f>
        <v>1457.1641870000001</v>
      </c>
      <c r="L178" s="3" t="str">
        <f>VLOOKUP('[1]New Data'!A178,'[1]New Data'!A:S,19,0)</f>
        <v>Grocery</v>
      </c>
      <c r="M178" s="3" t="str">
        <f>VLOOKUP('[1]New Data'!A178,'[1]New Data'!A:T,20,0)</f>
        <v>Coffee</v>
      </c>
      <c r="N178" s="5">
        <f>VLOOKUP('[1]New Data'!A136,'[1]New Data'!A:Z,25,0)</f>
        <v>4</v>
      </c>
    </row>
    <row r="179" spans="1:14" hidden="1" x14ac:dyDescent="0.35">
      <c r="A179" s="2">
        <v>7311153</v>
      </c>
      <c r="B179" s="2">
        <v>95391</v>
      </c>
      <c r="C179" s="2" t="s">
        <v>195</v>
      </c>
      <c r="D179" s="2" t="s">
        <v>15</v>
      </c>
      <c r="E179" s="3">
        <f>VLOOKUP('[1]New Data'!A167,'[1]New Data'!A:H,8,0)</f>
        <v>64</v>
      </c>
      <c r="F179" s="3" t="str">
        <f>VLOOKUP('[1]New Data'!A167,'[1]New Data'!A:J,10,0)</f>
        <v>Male</v>
      </c>
      <c r="G179" s="3" t="str">
        <f>VLOOKUP('[1]New Data'!A167,'[1]New Data'!A:K,11,0)</f>
        <v>Low</v>
      </c>
      <c r="H179" s="4">
        <f>VLOOKUP('[1]New Data'!A167,'[1]New Data'!A:M,13,0)</f>
        <v>45255</v>
      </c>
      <c r="I179" s="5">
        <f>VLOOKUP('[1]New Data'!A167,'[1]New Data'!A:O,15,0)</f>
        <v>7</v>
      </c>
      <c r="J179" s="3">
        <f>VLOOKUP('[1]New Data'!A167,'[1]New Data'!A:P,16,0)</f>
        <v>207.84395810000001</v>
      </c>
      <c r="K179" s="3">
        <f>VLOOKUP('[1]New Data'!A167,'[1]New Data'!A:Q,17,0)</f>
        <v>1454.9077070000001</v>
      </c>
      <c r="L179" s="3" t="str">
        <f>VLOOKUP('[1]New Data'!A179,'[1]New Data'!A:S,19,0)</f>
        <v>Clothing</v>
      </c>
      <c r="M179" s="3" t="str">
        <f>VLOOKUP('[1]New Data'!A179,'[1]New Data'!A:T,20,0)</f>
        <v>Shirt</v>
      </c>
      <c r="N179" s="5">
        <f>VLOOKUP('[1]New Data'!A167,'[1]New Data'!A:Z,25,0)</f>
        <v>2</v>
      </c>
    </row>
    <row r="180" spans="1:14" x14ac:dyDescent="0.35">
      <c r="A180" s="2">
        <v>4579663</v>
      </c>
      <c r="B180" s="2">
        <v>31767</v>
      </c>
      <c r="C180" s="2" t="s">
        <v>196</v>
      </c>
      <c r="D180" s="2" t="s">
        <v>15</v>
      </c>
      <c r="E180" s="3">
        <f>VLOOKUP('[1]New Data'!A39,'[1]New Data'!A:H,8,0)</f>
        <v>28</v>
      </c>
      <c r="F180" s="3" t="str">
        <f>VLOOKUP('[1]New Data'!A39,'[1]New Data'!A:J,10,0)</f>
        <v>Male</v>
      </c>
      <c r="G180" s="3" t="str">
        <f>VLOOKUP('[1]New Data'!A39,'[1]New Data'!A:K,11,0)</f>
        <v>High</v>
      </c>
      <c r="H180" s="4">
        <f>VLOOKUP('[1]New Data'!A39,'[1]New Data'!A:M,13,0)</f>
        <v>45338</v>
      </c>
      <c r="I180" s="5">
        <f>VLOOKUP('[1]New Data'!A39,'[1]New Data'!A:O,15,0)</f>
        <v>9</v>
      </c>
      <c r="J180" s="3">
        <f>VLOOKUP('[1]New Data'!A39,'[1]New Data'!A:P,16,0)</f>
        <v>161.3873342</v>
      </c>
      <c r="K180" s="3">
        <f>VLOOKUP('[1]New Data'!A39,'[1]New Data'!A:Q,17,0)</f>
        <v>1452.4860080000001</v>
      </c>
      <c r="L180" s="3" t="str">
        <f>VLOOKUP('[1]New Data'!A180,'[1]New Data'!A:S,19,0)</f>
        <v>Home Decor</v>
      </c>
      <c r="M180" s="3" t="str">
        <f>VLOOKUP('[1]New Data'!A180,'[1]New Data'!A:T,20,0)</f>
        <v>Kitchen</v>
      </c>
      <c r="N180" s="5">
        <f>VLOOKUP('[1]New Data'!A39,'[1]New Data'!A:Z,25,0)</f>
        <v>4</v>
      </c>
    </row>
    <row r="181" spans="1:14" hidden="1" x14ac:dyDescent="0.35">
      <c r="A181" s="2">
        <v>1874788</v>
      </c>
      <c r="B181" s="2">
        <v>74649</v>
      </c>
      <c r="C181" s="2" t="s">
        <v>197</v>
      </c>
      <c r="D181" s="2" t="s">
        <v>15</v>
      </c>
      <c r="E181" s="3">
        <f>VLOOKUP('[1]New Data'!A95,'[1]New Data'!A:H,8,0)</f>
        <v>18</v>
      </c>
      <c r="F181" s="3" t="str">
        <f>VLOOKUP('[1]New Data'!A95,'[1]New Data'!A:J,10,0)</f>
        <v>Male</v>
      </c>
      <c r="G181" s="3" t="str">
        <f>VLOOKUP('[1]New Data'!A95,'[1]New Data'!A:K,11,0)</f>
        <v>High</v>
      </c>
      <c r="H181" s="4">
        <f>VLOOKUP('[1]New Data'!A95,'[1]New Data'!A:M,13,0)</f>
        <v>45035</v>
      </c>
      <c r="I181" s="5">
        <f>VLOOKUP('[1]New Data'!A95,'[1]New Data'!A:O,15,0)</f>
        <v>5</v>
      </c>
      <c r="J181" s="3">
        <f>VLOOKUP('[1]New Data'!A95,'[1]New Data'!A:P,16,0)</f>
        <v>289.11678280000001</v>
      </c>
      <c r="K181" s="3">
        <f>VLOOKUP('[1]New Data'!A95,'[1]New Data'!A:Q,17,0)</f>
        <v>1445.583914</v>
      </c>
      <c r="L181" s="3" t="str">
        <f>VLOOKUP('[1]New Data'!A181,'[1]New Data'!A:S,19,0)</f>
        <v>Books</v>
      </c>
      <c r="M181" s="3" t="str">
        <f>VLOOKUP('[1]New Data'!A181,'[1]New Data'!A:T,20,0)</f>
        <v>Children's</v>
      </c>
      <c r="N181" s="5">
        <f>VLOOKUP('[1]New Data'!A95,'[1]New Data'!A:Z,25,0)</f>
        <v>2</v>
      </c>
    </row>
    <row r="182" spans="1:14" x14ac:dyDescent="0.35">
      <c r="A182" s="2">
        <v>2873384</v>
      </c>
      <c r="B182" s="2">
        <v>55388</v>
      </c>
      <c r="C182" s="2" t="s">
        <v>198</v>
      </c>
      <c r="D182" s="2" t="s">
        <v>15</v>
      </c>
      <c r="E182" s="3">
        <f>VLOOKUP('[1]New Data'!A31,'[1]New Data'!A:H,8,0)</f>
        <v>50</v>
      </c>
      <c r="F182" s="3" t="str">
        <f>VLOOKUP('[1]New Data'!A31,'[1]New Data'!A:J,10,0)</f>
        <v>Male</v>
      </c>
      <c r="G182" s="3" t="str">
        <f>VLOOKUP('[1]New Data'!A31,'[1]New Data'!A:K,11,0)</f>
        <v>Medium</v>
      </c>
      <c r="H182" s="4">
        <f>VLOOKUP('[1]New Data'!A31,'[1]New Data'!A:M,13,0)</f>
        <v>45098</v>
      </c>
      <c r="I182" s="5">
        <f>VLOOKUP('[1]New Data'!A31,'[1]New Data'!A:O,15,0)</f>
        <v>6</v>
      </c>
      <c r="J182" s="3">
        <f>VLOOKUP('[1]New Data'!A31,'[1]New Data'!A:P,16,0)</f>
        <v>240.22818860000001</v>
      </c>
      <c r="K182" s="3">
        <f>VLOOKUP('[1]New Data'!A31,'[1]New Data'!A:Q,17,0)</f>
        <v>1441.369132</v>
      </c>
      <c r="L182" s="3" t="str">
        <f>VLOOKUP('[1]New Data'!A182,'[1]New Data'!A:S,19,0)</f>
        <v>Home Decor</v>
      </c>
      <c r="M182" s="3" t="str">
        <f>VLOOKUP('[1]New Data'!A182,'[1]New Data'!A:T,20,0)</f>
        <v>Decorations</v>
      </c>
      <c r="N182" s="5">
        <f>VLOOKUP('[1]New Data'!A31,'[1]New Data'!A:Z,25,0)</f>
        <v>3</v>
      </c>
    </row>
    <row r="183" spans="1:14" x14ac:dyDescent="0.35">
      <c r="A183" s="2">
        <v>8130970</v>
      </c>
      <c r="B183" s="2">
        <v>13793</v>
      </c>
      <c r="C183" s="2" t="s">
        <v>199</v>
      </c>
      <c r="D183" s="2" t="s">
        <v>15</v>
      </c>
      <c r="E183" s="3">
        <f>VLOOKUP('[1]New Data'!A359,'[1]New Data'!A:H,8,0)</f>
        <v>39</v>
      </c>
      <c r="F183" s="3" t="str">
        <f>VLOOKUP('[1]New Data'!A359,'[1]New Data'!A:J,10,0)</f>
        <v>Male</v>
      </c>
      <c r="G183" s="3" t="str">
        <f>VLOOKUP('[1]New Data'!A359,'[1]New Data'!A:K,11,0)</f>
        <v>Medium</v>
      </c>
      <c r="H183" s="4">
        <f>VLOOKUP('[1]New Data'!A359,'[1]New Data'!A:M,13,0)</f>
        <v>45129</v>
      </c>
      <c r="I183" s="5">
        <f>VLOOKUP('[1]New Data'!A359,'[1]New Data'!A:O,15,0)</f>
        <v>4</v>
      </c>
      <c r="J183" s="3">
        <f>VLOOKUP('[1]New Data'!A359,'[1]New Data'!A:P,16,0)</f>
        <v>359.45480959999998</v>
      </c>
      <c r="K183" s="3">
        <f>VLOOKUP('[1]New Data'!A359,'[1]New Data'!A:Q,17,0)</f>
        <v>1437.8192389999999</v>
      </c>
      <c r="L183" s="3" t="str">
        <f>VLOOKUP('[1]New Data'!A183,'[1]New Data'!A:S,19,0)</f>
        <v>Home Decor</v>
      </c>
      <c r="M183" s="3" t="str">
        <f>VLOOKUP('[1]New Data'!A183,'[1]New Data'!A:T,20,0)</f>
        <v>Decorations</v>
      </c>
      <c r="N183" s="5">
        <f>VLOOKUP('[1]New Data'!A359,'[1]New Data'!A:Z,25,0)</f>
        <v>1</v>
      </c>
    </row>
    <row r="184" spans="1:14" hidden="1" x14ac:dyDescent="0.35">
      <c r="A184" s="2">
        <v>8171449</v>
      </c>
      <c r="B184" s="2">
        <v>14663</v>
      </c>
      <c r="C184" s="2" t="s">
        <v>200</v>
      </c>
      <c r="D184" s="2" t="s">
        <v>15</v>
      </c>
      <c r="E184" s="3">
        <f>VLOOKUP('[1]New Data'!A489,'[1]New Data'!A:H,8,0)</f>
        <v>53</v>
      </c>
      <c r="F184" s="3" t="str">
        <f>VLOOKUP('[1]New Data'!A489,'[1]New Data'!A:J,10,0)</f>
        <v>Male</v>
      </c>
      <c r="G184" s="3" t="str">
        <f>VLOOKUP('[1]New Data'!A489,'[1]New Data'!A:K,11,0)</f>
        <v>High</v>
      </c>
      <c r="H184" s="4">
        <f>VLOOKUP('[1]New Data'!A489,'[1]New Data'!A:M,13,0)</f>
        <v>45173</v>
      </c>
      <c r="I184" s="5">
        <f>VLOOKUP('[1]New Data'!A489,'[1]New Data'!A:O,15,0)</f>
        <v>3</v>
      </c>
      <c r="J184" s="3">
        <f>VLOOKUP('[1]New Data'!A489,'[1]New Data'!A:P,16,0)</f>
        <v>479.11986630000001</v>
      </c>
      <c r="K184" s="3">
        <f>VLOOKUP('[1]New Data'!A489,'[1]New Data'!A:Q,17,0)</f>
        <v>1437.3595989999999</v>
      </c>
      <c r="L184" s="3" t="str">
        <f>VLOOKUP('[1]New Data'!A184,'[1]New Data'!A:S,19,0)</f>
        <v>Books</v>
      </c>
      <c r="M184" s="3" t="str">
        <f>VLOOKUP('[1]New Data'!A184,'[1]New Data'!A:T,20,0)</f>
        <v>Non-Fiction</v>
      </c>
      <c r="N184" s="5">
        <f>VLOOKUP('[1]New Data'!A489,'[1]New Data'!A:Z,25,0)</f>
        <v>1</v>
      </c>
    </row>
    <row r="185" spans="1:14" hidden="1" x14ac:dyDescent="0.35">
      <c r="A185" s="2">
        <v>7637365</v>
      </c>
      <c r="B185" s="2">
        <v>23631</v>
      </c>
      <c r="C185" s="2" t="s">
        <v>201</v>
      </c>
      <c r="D185" s="2" t="s">
        <v>15</v>
      </c>
      <c r="E185" s="3">
        <f>VLOOKUP('[1]New Data'!A391,'[1]New Data'!A:H,8,0)</f>
        <v>48</v>
      </c>
      <c r="F185" s="3" t="str">
        <f>VLOOKUP('[1]New Data'!A391,'[1]New Data'!A:J,10,0)</f>
        <v>unknown</v>
      </c>
      <c r="G185" s="3" t="str">
        <f>VLOOKUP('[1]New Data'!A391,'[1]New Data'!A:K,11,0)</f>
        <v>Medium</v>
      </c>
      <c r="H185" s="4">
        <f>VLOOKUP('[1]New Data'!A391,'[1]New Data'!A:M,13,0)</f>
        <v>45351</v>
      </c>
      <c r="I185" s="5">
        <f>VLOOKUP('[1]New Data'!A391,'[1]New Data'!A:O,15,0)</f>
        <v>9</v>
      </c>
      <c r="J185" s="3">
        <f>VLOOKUP('[1]New Data'!A391,'[1]New Data'!A:P,16,0)</f>
        <v>159.507104</v>
      </c>
      <c r="K185" s="3">
        <f>VLOOKUP('[1]New Data'!A391,'[1]New Data'!A:Q,17,0)</f>
        <v>1435.563936</v>
      </c>
      <c r="L185" s="3" t="str">
        <f>VLOOKUP('[1]New Data'!A185,'[1]New Data'!A:S,19,0)</f>
        <v>Electronics</v>
      </c>
      <c r="M185" s="3" t="str">
        <f>VLOOKUP('[1]New Data'!A185,'[1]New Data'!A:T,20,0)</f>
        <v>Tablet</v>
      </c>
      <c r="N185" s="5">
        <f>VLOOKUP('[1]New Data'!A391,'[1]New Data'!A:Z,25,0)</f>
        <v>5</v>
      </c>
    </row>
    <row r="186" spans="1:14" hidden="1" x14ac:dyDescent="0.35">
      <c r="A186" s="2">
        <v>9749364</v>
      </c>
      <c r="B186" s="2">
        <v>75652</v>
      </c>
      <c r="C186" s="2" t="s">
        <v>202</v>
      </c>
      <c r="D186" s="2" t="s">
        <v>15</v>
      </c>
      <c r="E186" s="3">
        <f>VLOOKUP('[1]New Data'!A352,'[1]New Data'!A:H,8,0)</f>
        <v>19</v>
      </c>
      <c r="F186" s="3" t="str">
        <f>VLOOKUP('[1]New Data'!A352,'[1]New Data'!A:J,10,0)</f>
        <v>Female</v>
      </c>
      <c r="G186" s="3" t="str">
        <f>VLOOKUP('[1]New Data'!A352,'[1]New Data'!A:K,11,0)</f>
        <v>Low</v>
      </c>
      <c r="H186" s="4">
        <f>VLOOKUP('[1]New Data'!A352,'[1]New Data'!A:M,13,0)</f>
        <v>45099</v>
      </c>
      <c r="I186" s="5">
        <f>VLOOKUP('[1]New Data'!A352,'[1]New Data'!A:O,15,0)</f>
        <v>5</v>
      </c>
      <c r="J186" s="3">
        <f>VLOOKUP('[1]New Data'!A352,'[1]New Data'!A:P,16,0)</f>
        <v>285.90947790000001</v>
      </c>
      <c r="K186" s="3">
        <f>VLOOKUP('[1]New Data'!A352,'[1]New Data'!A:Q,17,0)</f>
        <v>1429.5473890000001</v>
      </c>
      <c r="L186" s="3" t="str">
        <f>VLOOKUP('[1]New Data'!A186,'[1]New Data'!A:S,19,0)</f>
        <v>Books</v>
      </c>
      <c r="M186" s="3" t="str">
        <f>VLOOKUP('[1]New Data'!A186,'[1]New Data'!A:T,20,0)</f>
        <v>Non-Fiction</v>
      </c>
      <c r="N186" s="5">
        <f>VLOOKUP('[1]New Data'!A352,'[1]New Data'!A:Z,25,0)</f>
        <v>5</v>
      </c>
    </row>
    <row r="187" spans="1:14" hidden="1" x14ac:dyDescent="0.35">
      <c r="A187" s="2">
        <v>9185879</v>
      </c>
      <c r="B187" s="2">
        <v>10010</v>
      </c>
      <c r="C187" s="2" t="s">
        <v>203</v>
      </c>
      <c r="D187" s="2" t="s">
        <v>15</v>
      </c>
      <c r="E187" s="3">
        <f>VLOOKUP('[1]New Data'!A446,'[1]New Data'!A:H,8,0)</f>
        <v>32</v>
      </c>
      <c r="F187" s="3" t="str">
        <f>VLOOKUP('[1]New Data'!A446,'[1]New Data'!A:J,10,0)</f>
        <v>Female</v>
      </c>
      <c r="G187" s="3" t="str">
        <f>VLOOKUP('[1]New Data'!A446,'[1]New Data'!A:K,11,0)</f>
        <v>Low</v>
      </c>
      <c r="H187" s="4">
        <f>VLOOKUP('[1]New Data'!A446,'[1]New Data'!A:M,13,0)</f>
        <v>45193</v>
      </c>
      <c r="I187" s="5">
        <f>VLOOKUP('[1]New Data'!A446,'[1]New Data'!A:O,15,0)</f>
        <v>8</v>
      </c>
      <c r="J187" s="3">
        <f>VLOOKUP('[1]New Data'!A446,'[1]New Data'!A:P,16,0)</f>
        <v>178.6646437</v>
      </c>
      <c r="K187" s="3">
        <f>VLOOKUP('[1]New Data'!A446,'[1]New Data'!A:Q,17,0)</f>
        <v>1429.3171500000001</v>
      </c>
      <c r="L187" s="3" t="str">
        <f>VLOOKUP('[1]New Data'!A187,'[1]New Data'!A:S,19,0)</f>
        <v>Books</v>
      </c>
      <c r="M187" s="3" t="str">
        <f>VLOOKUP('[1]New Data'!A187,'[1]New Data'!A:T,20,0)</f>
        <v>Non-Fiction</v>
      </c>
      <c r="N187" s="5">
        <f>VLOOKUP('[1]New Data'!A446,'[1]New Data'!A:Z,25,0)</f>
        <v>4</v>
      </c>
    </row>
    <row r="188" spans="1:14" hidden="1" x14ac:dyDescent="0.35">
      <c r="A188" s="2">
        <v>4081468</v>
      </c>
      <c r="B188" s="2">
        <v>57471</v>
      </c>
      <c r="C188" s="2" t="s">
        <v>204</v>
      </c>
      <c r="D188" s="2" t="s">
        <v>15</v>
      </c>
      <c r="E188" s="3">
        <f>VLOOKUP('[1]New Data'!A307,'[1]New Data'!A:H,8,0)</f>
        <v>65</v>
      </c>
      <c r="F188" s="3" t="str">
        <f>VLOOKUP('[1]New Data'!A307,'[1]New Data'!A:J,10,0)</f>
        <v>Female</v>
      </c>
      <c r="G188" s="3" t="str">
        <f>VLOOKUP('[1]New Data'!A307,'[1]New Data'!A:K,11,0)</f>
        <v>High</v>
      </c>
      <c r="H188" s="4">
        <f>VLOOKUP('[1]New Data'!A307,'[1]New Data'!A:M,13,0)</f>
        <v>45265</v>
      </c>
      <c r="I188" s="5">
        <f>VLOOKUP('[1]New Data'!A307,'[1]New Data'!A:O,15,0)</f>
        <v>10</v>
      </c>
      <c r="J188" s="3">
        <f>VLOOKUP('[1]New Data'!A307,'[1]New Data'!A:P,16,0)</f>
        <v>142.11121399999999</v>
      </c>
      <c r="K188" s="3">
        <f>VLOOKUP('[1]New Data'!A307,'[1]New Data'!A:Q,17,0)</f>
        <v>1421.11214</v>
      </c>
      <c r="L188" s="3" t="str">
        <f>VLOOKUP('[1]New Data'!A188,'[1]New Data'!A:S,19,0)</f>
        <v>Grocery</v>
      </c>
      <c r="M188" s="3" t="str">
        <f>VLOOKUP('[1]New Data'!A188,'[1]New Data'!A:T,20,0)</f>
        <v>Soft Drink</v>
      </c>
      <c r="N188" s="5">
        <f>VLOOKUP('[1]New Data'!A307,'[1]New Data'!A:Z,25,0)</f>
        <v>2</v>
      </c>
    </row>
    <row r="189" spans="1:14" hidden="1" x14ac:dyDescent="0.35">
      <c r="A189" s="2">
        <v>6856042</v>
      </c>
      <c r="B189" s="2">
        <v>97487</v>
      </c>
      <c r="C189" s="2" t="s">
        <v>205</v>
      </c>
      <c r="D189" s="2" t="s">
        <v>15</v>
      </c>
      <c r="E189" s="3">
        <f>VLOOKUP('[1]New Data'!A286,'[1]New Data'!A:H,8,0)</f>
        <v>36</v>
      </c>
      <c r="F189" s="3" t="str">
        <f>VLOOKUP('[1]New Data'!A286,'[1]New Data'!A:J,10,0)</f>
        <v>Male</v>
      </c>
      <c r="G189" s="3" t="str">
        <f>VLOOKUP('[1]New Data'!A286,'[1]New Data'!A:K,11,0)</f>
        <v>Low</v>
      </c>
      <c r="H189" s="4">
        <f>VLOOKUP('[1]New Data'!A286,'[1]New Data'!A:M,13,0)</f>
        <v>45105</v>
      </c>
      <c r="I189" s="5">
        <f>VLOOKUP('[1]New Data'!A286,'[1]New Data'!A:O,15,0)</f>
        <v>3</v>
      </c>
      <c r="J189" s="3">
        <f>VLOOKUP('[1]New Data'!A286,'[1]New Data'!A:P,16,0)</f>
        <v>472.62645850000001</v>
      </c>
      <c r="K189" s="3">
        <f>VLOOKUP('[1]New Data'!A286,'[1]New Data'!A:Q,17,0)</f>
        <v>1417.8793760000001</v>
      </c>
      <c r="L189" s="3" t="str">
        <f>VLOOKUP('[1]New Data'!A189,'[1]New Data'!A:S,19,0)</f>
        <v>Clothing</v>
      </c>
      <c r="M189" s="3" t="str">
        <f>VLOOKUP('[1]New Data'!A189,'[1]New Data'!A:T,20,0)</f>
        <v>Shorts</v>
      </c>
      <c r="N189" s="5">
        <f>VLOOKUP('[1]New Data'!A286,'[1]New Data'!A:Z,25,0)</f>
        <v>3</v>
      </c>
    </row>
    <row r="190" spans="1:14" hidden="1" x14ac:dyDescent="0.35">
      <c r="A190" s="2">
        <v>7172567</v>
      </c>
      <c r="B190" s="2">
        <v>88816</v>
      </c>
      <c r="C190" s="2" t="s">
        <v>206</v>
      </c>
      <c r="D190" s="2" t="s">
        <v>15</v>
      </c>
      <c r="E190" s="3">
        <f>VLOOKUP('[1]New Data'!A179,'[1]New Data'!A:H,8,0)</f>
        <v>43</v>
      </c>
      <c r="F190" s="3" t="str">
        <f>VLOOKUP('[1]New Data'!A179,'[1]New Data'!A:J,10,0)</f>
        <v>Female</v>
      </c>
      <c r="G190" s="3" t="str">
        <f>VLOOKUP('[1]New Data'!A179,'[1]New Data'!A:K,11,0)</f>
        <v>Low</v>
      </c>
      <c r="H190" s="4">
        <f>VLOOKUP('[1]New Data'!A179,'[1]New Data'!A:M,13,0)</f>
        <v>45172</v>
      </c>
      <c r="I190" s="5">
        <f>VLOOKUP('[1]New Data'!A179,'[1]New Data'!A:O,15,0)</f>
        <v>5</v>
      </c>
      <c r="J190" s="3">
        <f>VLOOKUP('[1]New Data'!A179,'[1]New Data'!A:P,16,0)</f>
        <v>282.31417720000002</v>
      </c>
      <c r="K190" s="3">
        <f>VLOOKUP('[1]New Data'!A179,'[1]New Data'!A:Q,17,0)</f>
        <v>1411.570886</v>
      </c>
      <c r="L190" s="3" t="str">
        <f>VLOOKUP('[1]New Data'!A190,'[1]New Data'!A:S,19,0)</f>
        <v>Books</v>
      </c>
      <c r="M190" s="3" t="str">
        <f>VLOOKUP('[1]New Data'!A190,'[1]New Data'!A:T,20,0)</f>
        <v>Non-Fiction</v>
      </c>
      <c r="N190" s="5">
        <f>VLOOKUP('[1]New Data'!A179,'[1]New Data'!A:Z,25,0)</f>
        <v>5</v>
      </c>
    </row>
    <row r="191" spans="1:14" hidden="1" x14ac:dyDescent="0.35">
      <c r="A191" s="2">
        <v>8453854</v>
      </c>
      <c r="B191" s="2">
        <v>63858</v>
      </c>
      <c r="C191" s="2" t="s">
        <v>207</v>
      </c>
      <c r="D191" s="2" t="s">
        <v>15</v>
      </c>
      <c r="E191" s="3">
        <f>VLOOKUP('[1]New Data'!A470,'[1]New Data'!A:H,8,0)</f>
        <v>64</v>
      </c>
      <c r="F191" s="3" t="str">
        <f>VLOOKUP('[1]New Data'!A470,'[1]New Data'!A:J,10,0)</f>
        <v>Male</v>
      </c>
      <c r="G191" s="3" t="str">
        <f>VLOOKUP('[1]New Data'!A470,'[1]New Data'!A:K,11,0)</f>
        <v>Medium</v>
      </c>
      <c r="H191" s="4">
        <f>VLOOKUP('[1]New Data'!A470,'[1]New Data'!A:M,13,0)</f>
        <v>45058</v>
      </c>
      <c r="I191" s="5">
        <f>VLOOKUP('[1]New Data'!A470,'[1]New Data'!A:O,15,0)</f>
        <v>3</v>
      </c>
      <c r="J191" s="3">
        <f>VLOOKUP('[1]New Data'!A470,'[1]New Data'!A:P,16,0)</f>
        <v>468.57518370000003</v>
      </c>
      <c r="K191" s="3">
        <f>VLOOKUP('[1]New Data'!A470,'[1]New Data'!A:Q,17,0)</f>
        <v>1405.725551</v>
      </c>
      <c r="L191" s="3" t="str">
        <f>VLOOKUP('[1]New Data'!A191,'[1]New Data'!A:S,19,0)</f>
        <v>Clothing</v>
      </c>
      <c r="M191" s="3" t="str">
        <f>VLOOKUP('[1]New Data'!A191,'[1]New Data'!A:T,20,0)</f>
        <v>Dress</v>
      </c>
      <c r="N191" s="5">
        <f>VLOOKUP('[1]New Data'!A470,'[1]New Data'!A:Z,25,0)</f>
        <v>5</v>
      </c>
    </row>
    <row r="192" spans="1:14" hidden="1" x14ac:dyDescent="0.35">
      <c r="A192" s="2">
        <v>7999142</v>
      </c>
      <c r="B192" s="2">
        <v>88381</v>
      </c>
      <c r="C192" s="2" t="s">
        <v>208</v>
      </c>
      <c r="D192" s="2" t="s">
        <v>15</v>
      </c>
      <c r="E192" s="3">
        <f>VLOOKUP('[1]New Data'!A171,'[1]New Data'!A:H,8,0)</f>
        <v>57</v>
      </c>
      <c r="F192" s="3" t="str">
        <f>VLOOKUP('[1]New Data'!A171,'[1]New Data'!A:J,10,0)</f>
        <v>Female</v>
      </c>
      <c r="G192" s="3" t="str">
        <f>VLOOKUP('[1]New Data'!A171,'[1]New Data'!A:K,11,0)</f>
        <v>Low</v>
      </c>
      <c r="H192" s="4">
        <f>VLOOKUP('[1]New Data'!A171,'[1]New Data'!A:M,13,0)</f>
        <v>45089</v>
      </c>
      <c r="I192" s="5">
        <f>VLOOKUP('[1]New Data'!A171,'[1]New Data'!A:O,15,0)</f>
        <v>5</v>
      </c>
      <c r="J192" s="3">
        <f>VLOOKUP('[1]New Data'!A171,'[1]New Data'!A:P,16,0)</f>
        <v>278.98508479999998</v>
      </c>
      <c r="K192" s="3">
        <f>VLOOKUP('[1]New Data'!A171,'[1]New Data'!A:Q,17,0)</f>
        <v>1394.925424</v>
      </c>
      <c r="L192" s="3" t="str">
        <f>VLOOKUP('[1]New Data'!A192,'[1]New Data'!A:S,19,0)</f>
        <v>Grocery</v>
      </c>
      <c r="M192" s="3" t="str">
        <f>VLOOKUP('[1]New Data'!A192,'[1]New Data'!A:T,20,0)</f>
        <v>Juice</v>
      </c>
      <c r="N192" s="5">
        <f>VLOOKUP('[1]New Data'!A171,'[1]New Data'!A:Z,25,0)</f>
        <v>1</v>
      </c>
    </row>
    <row r="193" spans="1:14" hidden="1" x14ac:dyDescent="0.35">
      <c r="A193" s="2">
        <v>3690467</v>
      </c>
      <c r="B193" s="2">
        <v>62308</v>
      </c>
      <c r="C193" s="2" t="s">
        <v>209</v>
      </c>
      <c r="D193" s="2" t="s">
        <v>15</v>
      </c>
      <c r="E193" s="3">
        <f>VLOOKUP('[1]New Data'!A493,'[1]New Data'!A:H,8,0)</f>
        <v>18</v>
      </c>
      <c r="F193" s="3" t="str">
        <f>VLOOKUP('[1]New Data'!A493,'[1]New Data'!A:J,10,0)</f>
        <v>Female</v>
      </c>
      <c r="G193" s="3" t="str">
        <f>VLOOKUP('[1]New Data'!A493,'[1]New Data'!A:K,11,0)</f>
        <v>High</v>
      </c>
      <c r="H193" s="4">
        <f>VLOOKUP('[1]New Data'!A493,'[1]New Data'!A:M,13,0)</f>
        <v>45157</v>
      </c>
      <c r="I193" s="5">
        <f>VLOOKUP('[1]New Data'!A493,'[1]New Data'!A:O,15,0)</f>
        <v>3</v>
      </c>
      <c r="J193" s="3">
        <f>VLOOKUP('[1]New Data'!A493,'[1]New Data'!A:P,16,0)</f>
        <v>464.45567790000001</v>
      </c>
      <c r="K193" s="3">
        <f>VLOOKUP('[1]New Data'!A493,'[1]New Data'!A:Q,17,0)</f>
        <v>1393.3670340000001</v>
      </c>
      <c r="L193" s="3" t="str">
        <f>VLOOKUP('[1]New Data'!A193,'[1]New Data'!A:S,19,0)</f>
        <v>Electronics</v>
      </c>
      <c r="M193" s="3" t="str">
        <f>VLOOKUP('[1]New Data'!A193,'[1]New Data'!A:T,20,0)</f>
        <v>Tablet</v>
      </c>
      <c r="N193" s="5">
        <f>VLOOKUP('[1]New Data'!A493,'[1]New Data'!A:Z,25,0)</f>
        <v>1</v>
      </c>
    </row>
    <row r="194" spans="1:14" hidden="1" x14ac:dyDescent="0.35">
      <c r="A194" s="2">
        <v>4893754</v>
      </c>
      <c r="B194" s="2">
        <v>99058</v>
      </c>
      <c r="C194" s="2" t="s">
        <v>210</v>
      </c>
      <c r="D194" s="2" t="s">
        <v>15</v>
      </c>
      <c r="E194" s="3">
        <f>VLOOKUP('[1]New Data'!A484,'[1]New Data'!A:H,8,0)</f>
        <v>65</v>
      </c>
      <c r="F194" s="3" t="str">
        <f>VLOOKUP('[1]New Data'!A484,'[1]New Data'!A:J,10,0)</f>
        <v>Female</v>
      </c>
      <c r="G194" s="3" t="str">
        <f>VLOOKUP('[1]New Data'!A484,'[1]New Data'!A:K,11,0)</f>
        <v>Low</v>
      </c>
      <c r="H194" s="4">
        <f>VLOOKUP('[1]New Data'!A484,'[1]New Data'!A:M,13,0)</f>
        <v>44992</v>
      </c>
      <c r="I194" s="5">
        <f>VLOOKUP('[1]New Data'!A484,'[1]New Data'!A:O,15,0)</f>
        <v>6</v>
      </c>
      <c r="J194" s="3">
        <f>VLOOKUP('[1]New Data'!A484,'[1]New Data'!A:P,16,0)</f>
        <v>231.5138445</v>
      </c>
      <c r="K194" s="3">
        <f>VLOOKUP('[1]New Data'!A484,'[1]New Data'!A:Q,17,0)</f>
        <v>1389.083067</v>
      </c>
      <c r="L194" s="3" t="str">
        <f>VLOOKUP('[1]New Data'!A194,'[1]New Data'!A:S,19,0)</f>
        <v>Clothing</v>
      </c>
      <c r="M194" s="3" t="str">
        <f>VLOOKUP('[1]New Data'!A194,'[1]New Data'!A:T,20,0)</f>
        <v>T-shirt</v>
      </c>
      <c r="N194" s="5">
        <f>VLOOKUP('[1]New Data'!A484,'[1]New Data'!A:Z,25,0)</f>
        <v>5</v>
      </c>
    </row>
    <row r="195" spans="1:14" hidden="1" x14ac:dyDescent="0.35">
      <c r="A195" s="2">
        <v>4177207</v>
      </c>
      <c r="B195" s="2">
        <v>34843</v>
      </c>
      <c r="C195" s="2" t="s">
        <v>211</v>
      </c>
      <c r="D195" s="2" t="s">
        <v>15</v>
      </c>
      <c r="E195" s="3">
        <f>VLOOKUP('[1]New Data'!A205,'[1]New Data'!A:H,8,0)</f>
        <v>32</v>
      </c>
      <c r="F195" s="3" t="str">
        <f>VLOOKUP('[1]New Data'!A205,'[1]New Data'!A:J,10,0)</f>
        <v>Male</v>
      </c>
      <c r="G195" s="3" t="str">
        <f>VLOOKUP('[1]New Data'!A205,'[1]New Data'!A:K,11,0)</f>
        <v>Low</v>
      </c>
      <c r="H195" s="4">
        <f>VLOOKUP('[1]New Data'!A205,'[1]New Data'!A:M,13,0)</f>
        <v>45117</v>
      </c>
      <c r="I195" s="5">
        <f>VLOOKUP('[1]New Data'!A205,'[1]New Data'!A:O,15,0)</f>
        <v>4</v>
      </c>
      <c r="J195" s="3">
        <f>VLOOKUP('[1]New Data'!A205,'[1]New Data'!A:P,16,0)</f>
        <v>343.7173143</v>
      </c>
      <c r="K195" s="3">
        <f>VLOOKUP('[1]New Data'!A205,'[1]New Data'!A:Q,17,0)</f>
        <v>1374.8692570000001</v>
      </c>
      <c r="L195" s="3" t="str">
        <f>VLOOKUP('[1]New Data'!A195,'[1]New Data'!A:S,19,0)</f>
        <v>Books</v>
      </c>
      <c r="M195" s="3" t="str">
        <f>VLOOKUP('[1]New Data'!A195,'[1]New Data'!A:T,20,0)</f>
        <v>Non-Fiction</v>
      </c>
      <c r="N195" s="5">
        <f>VLOOKUP('[1]New Data'!A205,'[1]New Data'!A:Z,25,0)</f>
        <v>4</v>
      </c>
    </row>
    <row r="196" spans="1:14" hidden="1" x14ac:dyDescent="0.35">
      <c r="A196" s="2">
        <v>7961588</v>
      </c>
      <c r="B196" s="2">
        <v>68375</v>
      </c>
      <c r="C196" s="2" t="s">
        <v>212</v>
      </c>
      <c r="D196" s="2" t="s">
        <v>15</v>
      </c>
      <c r="E196" s="3">
        <f>VLOOKUP('[1]New Data'!A270,'[1]New Data'!A:H,8,0)</f>
        <v>36</v>
      </c>
      <c r="F196" s="3" t="str">
        <f>VLOOKUP('[1]New Data'!A270,'[1]New Data'!A:J,10,0)</f>
        <v>Male</v>
      </c>
      <c r="G196" s="3" t="str">
        <f>VLOOKUP('[1]New Data'!A270,'[1]New Data'!A:K,11,0)</f>
        <v>Medium</v>
      </c>
      <c r="H196" s="4">
        <f>VLOOKUP('[1]New Data'!A270,'[1]New Data'!A:M,13,0)</f>
        <v>45184</v>
      </c>
      <c r="I196" s="5">
        <f>VLOOKUP('[1]New Data'!A270,'[1]New Data'!A:O,15,0)</f>
        <v>3</v>
      </c>
      <c r="J196" s="3">
        <f>VLOOKUP('[1]New Data'!A270,'[1]New Data'!A:P,16,0)</f>
        <v>458.1763995</v>
      </c>
      <c r="K196" s="3">
        <f>VLOOKUP('[1]New Data'!A270,'[1]New Data'!A:Q,17,0)</f>
        <v>1374.529198</v>
      </c>
      <c r="L196" s="3" t="str">
        <f>VLOOKUP('[1]New Data'!A196,'[1]New Data'!A:S,19,0)</f>
        <v>Books</v>
      </c>
      <c r="M196" s="3" t="str">
        <f>VLOOKUP('[1]New Data'!A196,'[1]New Data'!A:T,20,0)</f>
        <v>Thriller</v>
      </c>
      <c r="N196" s="5">
        <f>VLOOKUP('[1]New Data'!A270,'[1]New Data'!A:Z,25,0)</f>
        <v>4</v>
      </c>
    </row>
    <row r="197" spans="1:14" hidden="1" x14ac:dyDescent="0.35">
      <c r="A197" s="2">
        <v>8336265</v>
      </c>
      <c r="B197" s="2">
        <v>13081</v>
      </c>
      <c r="C197" s="2" t="s">
        <v>213</v>
      </c>
      <c r="D197" s="2" t="s">
        <v>15</v>
      </c>
      <c r="E197" s="3">
        <f>VLOOKUP('[1]New Data'!A362,'[1]New Data'!A:H,8,0)</f>
        <v>29</v>
      </c>
      <c r="F197" s="3" t="str">
        <f>VLOOKUP('[1]New Data'!A362,'[1]New Data'!A:J,10,0)</f>
        <v>Female</v>
      </c>
      <c r="G197" s="3" t="str">
        <f>VLOOKUP('[1]New Data'!A362,'[1]New Data'!A:K,11,0)</f>
        <v>Medium</v>
      </c>
      <c r="H197" s="4">
        <f>VLOOKUP('[1]New Data'!A362,'[1]New Data'!A:M,13,0)</f>
        <v>45322</v>
      </c>
      <c r="I197" s="5">
        <f>VLOOKUP('[1]New Data'!A362,'[1]New Data'!A:O,15,0)</f>
        <v>7</v>
      </c>
      <c r="J197" s="3">
        <f>VLOOKUP('[1]New Data'!A362,'[1]New Data'!A:P,16,0)</f>
        <v>196.2180008</v>
      </c>
      <c r="K197" s="3">
        <f>VLOOKUP('[1]New Data'!A362,'[1]New Data'!A:Q,17,0)</f>
        <v>1373.5260060000001</v>
      </c>
      <c r="L197" s="3" t="str">
        <f>VLOOKUP('[1]New Data'!A197,'[1]New Data'!A:S,19,0)</f>
        <v>Books</v>
      </c>
      <c r="M197" s="3" t="str">
        <f>VLOOKUP('[1]New Data'!A197,'[1]New Data'!A:T,20,0)</f>
        <v>Fiction</v>
      </c>
      <c r="N197" s="5">
        <f>VLOOKUP('[1]New Data'!A362,'[1]New Data'!A:Z,25,0)</f>
        <v>1</v>
      </c>
    </row>
    <row r="198" spans="1:14" hidden="1" x14ac:dyDescent="0.35">
      <c r="A198" s="2">
        <v>1944115</v>
      </c>
      <c r="B198" s="2">
        <v>36536</v>
      </c>
      <c r="C198" s="2" t="s">
        <v>214</v>
      </c>
      <c r="D198" s="2" t="s">
        <v>15</v>
      </c>
      <c r="E198" s="3">
        <f>VLOOKUP('[1]New Data'!A390,'[1]New Data'!A:H,8,0)</f>
        <v>40</v>
      </c>
      <c r="F198" s="3" t="str">
        <f>VLOOKUP('[1]New Data'!A390,'[1]New Data'!A:J,10,0)</f>
        <v>Male</v>
      </c>
      <c r="G198" s="3" t="str">
        <f>VLOOKUP('[1]New Data'!A390,'[1]New Data'!A:K,11,0)</f>
        <v>Low</v>
      </c>
      <c r="H198" s="4">
        <f>VLOOKUP('[1]New Data'!A390,'[1]New Data'!A:M,13,0)</f>
        <v>44993</v>
      </c>
      <c r="I198" s="5">
        <f>VLOOKUP('[1]New Data'!A390,'[1]New Data'!A:O,15,0)</f>
        <v>9</v>
      </c>
      <c r="J198" s="3">
        <f>VLOOKUP('[1]New Data'!A390,'[1]New Data'!A:P,16,0)</f>
        <v>148.4692804</v>
      </c>
      <c r="K198" s="3">
        <f>VLOOKUP('[1]New Data'!A390,'[1]New Data'!A:Q,17,0)</f>
        <v>1336.223524</v>
      </c>
      <c r="L198" s="3" t="str">
        <f>VLOOKUP('[1]New Data'!A198,'[1]New Data'!A:S,19,0)</f>
        <v>Clothing</v>
      </c>
      <c r="M198" s="3" t="str">
        <f>VLOOKUP('[1]New Data'!A198,'[1]New Data'!A:T,20,0)</f>
        <v>T-shirt</v>
      </c>
      <c r="N198" s="5">
        <f>VLOOKUP('[1]New Data'!A390,'[1]New Data'!A:Z,25,0)</f>
        <v>5</v>
      </c>
    </row>
    <row r="199" spans="1:14" hidden="1" x14ac:dyDescent="0.35">
      <c r="A199" s="2">
        <v>6675960</v>
      </c>
      <c r="B199" s="2">
        <v>60597</v>
      </c>
      <c r="C199" s="2" t="s">
        <v>215</v>
      </c>
      <c r="D199" s="2" t="s">
        <v>15</v>
      </c>
      <c r="E199" s="3">
        <f>VLOOKUP('[1]New Data'!A354,'[1]New Data'!A:H,8,0)</f>
        <v>30</v>
      </c>
      <c r="F199" s="3" t="str">
        <f>VLOOKUP('[1]New Data'!A354,'[1]New Data'!A:J,10,0)</f>
        <v>Male</v>
      </c>
      <c r="G199" s="3" t="str">
        <f>VLOOKUP('[1]New Data'!A354,'[1]New Data'!A:K,11,0)</f>
        <v>High</v>
      </c>
      <c r="H199" s="4">
        <f>VLOOKUP('[1]New Data'!A354,'[1]New Data'!A:M,13,0)</f>
        <v>45170</v>
      </c>
      <c r="I199" s="5">
        <f>VLOOKUP('[1]New Data'!A354,'[1]New Data'!A:O,15,0)</f>
        <v>3</v>
      </c>
      <c r="J199" s="3">
        <f>VLOOKUP('[1]New Data'!A354,'[1]New Data'!A:P,16,0)</f>
        <v>442.20173210000002</v>
      </c>
      <c r="K199" s="3">
        <f>VLOOKUP('[1]New Data'!A354,'[1]New Data'!A:Q,17,0)</f>
        <v>1326.605196</v>
      </c>
      <c r="L199" s="3" t="str">
        <f>VLOOKUP('[1]New Data'!A199,'[1]New Data'!A:S,19,0)</f>
        <v>Grocery</v>
      </c>
      <c r="M199" s="3" t="str">
        <f>VLOOKUP('[1]New Data'!A199,'[1]New Data'!A:T,20,0)</f>
        <v>Water</v>
      </c>
      <c r="N199" s="5">
        <f>VLOOKUP('[1]New Data'!A354,'[1]New Data'!A:Z,25,0)</f>
        <v>3</v>
      </c>
    </row>
    <row r="200" spans="1:14" x14ac:dyDescent="0.35">
      <c r="A200" s="2">
        <v>6011814</v>
      </c>
      <c r="B200" s="2">
        <v>74001</v>
      </c>
      <c r="C200" s="2" t="s">
        <v>216</v>
      </c>
      <c r="D200" s="2" t="s">
        <v>15</v>
      </c>
      <c r="E200" s="3">
        <f>VLOOKUP('[1]New Data'!A184,'[1]New Data'!A:H,8,0)</f>
        <v>70</v>
      </c>
      <c r="F200" s="3" t="str">
        <f>VLOOKUP('[1]New Data'!A184,'[1]New Data'!A:J,10,0)</f>
        <v>Male</v>
      </c>
      <c r="G200" s="3" t="str">
        <f>VLOOKUP('[1]New Data'!A184,'[1]New Data'!A:K,11,0)</f>
        <v>Medium</v>
      </c>
      <c r="H200" s="4">
        <f>VLOOKUP('[1]New Data'!A184,'[1]New Data'!A:M,13,0)</f>
        <v>45329</v>
      </c>
      <c r="I200" s="5">
        <f>VLOOKUP('[1]New Data'!A184,'[1]New Data'!A:O,15,0)</f>
        <v>9</v>
      </c>
      <c r="J200" s="3">
        <f>VLOOKUP('[1]New Data'!A184,'[1]New Data'!A:P,16,0)</f>
        <v>147.00276830000001</v>
      </c>
      <c r="K200" s="3">
        <f>VLOOKUP('[1]New Data'!A184,'[1]New Data'!A:Q,17,0)</f>
        <v>1323.024915</v>
      </c>
      <c r="L200" s="3" t="str">
        <f>VLOOKUP('[1]New Data'!A200,'[1]New Data'!A:S,19,0)</f>
        <v>Home Decor</v>
      </c>
      <c r="M200" s="3" t="str">
        <f>VLOOKUP('[1]New Data'!A200,'[1]New Data'!A:T,20,0)</f>
        <v>Decorations</v>
      </c>
      <c r="N200" s="5">
        <f>VLOOKUP('[1]New Data'!A184,'[1]New Data'!A:Z,25,0)</f>
        <v>1</v>
      </c>
    </row>
    <row r="201" spans="1:14" hidden="1" x14ac:dyDescent="0.35">
      <c r="A201" s="2">
        <v>2729227</v>
      </c>
      <c r="B201" s="2">
        <v>45610</v>
      </c>
      <c r="C201" s="2" t="s">
        <v>217</v>
      </c>
      <c r="D201" s="2" t="s">
        <v>15</v>
      </c>
      <c r="E201" s="3">
        <f>VLOOKUP('[1]New Data'!A107,'[1]New Data'!A:H,8,0)</f>
        <v>47</v>
      </c>
      <c r="F201" s="3" t="str">
        <f>VLOOKUP('[1]New Data'!A107,'[1]New Data'!A:J,10,0)</f>
        <v>Female</v>
      </c>
      <c r="G201" s="3" t="str">
        <f>VLOOKUP('[1]New Data'!A107,'[1]New Data'!A:K,11,0)</f>
        <v>Medium</v>
      </c>
      <c r="H201" s="4">
        <f>VLOOKUP('[1]New Data'!A107,'[1]New Data'!A:M,13,0)</f>
        <v>45117</v>
      </c>
      <c r="I201" s="5">
        <f>VLOOKUP('[1]New Data'!A107,'[1]New Data'!A:O,15,0)</f>
        <v>9</v>
      </c>
      <c r="J201" s="3">
        <f>VLOOKUP('[1]New Data'!A107,'[1]New Data'!A:P,16,0)</f>
        <v>145.65833979999999</v>
      </c>
      <c r="K201" s="3">
        <f>VLOOKUP('[1]New Data'!A107,'[1]New Data'!A:Q,17,0)</f>
        <v>1310.9250589999999</v>
      </c>
      <c r="L201" s="3" t="str">
        <f>VLOOKUP('[1]New Data'!A201,'[1]New Data'!A:S,19,0)</f>
        <v>Clothing</v>
      </c>
      <c r="M201" s="3" t="str">
        <f>VLOOKUP('[1]New Data'!A201,'[1]New Data'!A:T,20,0)</f>
        <v>Shoes</v>
      </c>
      <c r="N201" s="5">
        <f>VLOOKUP('[1]New Data'!A107,'[1]New Data'!A:Z,25,0)</f>
        <v>2</v>
      </c>
    </row>
    <row r="202" spans="1:14" x14ac:dyDescent="0.35">
      <c r="A202" s="2">
        <v>9766243</v>
      </c>
      <c r="B202" s="2">
        <v>41485</v>
      </c>
      <c r="C202" s="2" t="s">
        <v>218</v>
      </c>
      <c r="D202" s="2" t="s">
        <v>15</v>
      </c>
      <c r="E202" s="3">
        <f>VLOOKUP('[1]New Data'!A426,'[1]New Data'!A:H,8,0)</f>
        <v>28</v>
      </c>
      <c r="F202" s="3" t="str">
        <f>VLOOKUP('[1]New Data'!A426,'[1]New Data'!A:J,10,0)</f>
        <v>Male</v>
      </c>
      <c r="G202" s="3" t="str">
        <f>VLOOKUP('[1]New Data'!A426,'[1]New Data'!A:K,11,0)</f>
        <v>Low</v>
      </c>
      <c r="H202" s="4">
        <f>VLOOKUP('[1]New Data'!A426,'[1]New Data'!A:M,13,0)</f>
        <v>45192</v>
      </c>
      <c r="I202" s="5">
        <f>VLOOKUP('[1]New Data'!A426,'[1]New Data'!A:O,15,0)</f>
        <v>3</v>
      </c>
      <c r="J202" s="3">
        <f>VLOOKUP('[1]New Data'!A426,'[1]New Data'!A:P,16,0)</f>
        <v>434.80285959999998</v>
      </c>
      <c r="K202" s="3">
        <f>VLOOKUP('[1]New Data'!A426,'[1]New Data'!A:Q,17,0)</f>
        <v>1304.4085789999999</v>
      </c>
      <c r="L202" s="3" t="str">
        <f>VLOOKUP('[1]New Data'!A202,'[1]New Data'!A:S,19,0)</f>
        <v>Home Decor</v>
      </c>
      <c r="M202" s="3" t="str">
        <f>VLOOKUP('[1]New Data'!A202,'[1]New Data'!A:T,20,0)</f>
        <v>Decorations</v>
      </c>
      <c r="N202" s="5">
        <f>VLOOKUP('[1]New Data'!A426,'[1]New Data'!A:Z,25,0)</f>
        <v>4</v>
      </c>
    </row>
    <row r="203" spans="1:14" hidden="1" x14ac:dyDescent="0.35">
      <c r="A203" s="2">
        <v>5072217</v>
      </c>
      <c r="B203" s="2">
        <v>92028</v>
      </c>
      <c r="C203" s="2" t="s">
        <v>219</v>
      </c>
      <c r="D203" s="2" t="s">
        <v>15</v>
      </c>
      <c r="E203" s="3">
        <f>VLOOKUP('[1]New Data'!A173,'[1]New Data'!A:H,8,0)</f>
        <v>48</v>
      </c>
      <c r="F203" s="3" t="str">
        <f>VLOOKUP('[1]New Data'!A173,'[1]New Data'!A:J,10,0)</f>
        <v>Male</v>
      </c>
      <c r="G203" s="3" t="str">
        <f>VLOOKUP('[1]New Data'!A173,'[1]New Data'!A:K,11,0)</f>
        <v>Medium</v>
      </c>
      <c r="H203" s="4">
        <f>VLOOKUP('[1]New Data'!A173,'[1]New Data'!A:M,13,0)</f>
        <v>45100</v>
      </c>
      <c r="I203" s="5">
        <f>VLOOKUP('[1]New Data'!A173,'[1]New Data'!A:O,15,0)</f>
        <v>3</v>
      </c>
      <c r="J203" s="3">
        <f>VLOOKUP('[1]New Data'!A173,'[1]New Data'!A:P,16,0)</f>
        <v>433.55601830000001</v>
      </c>
      <c r="K203" s="3">
        <f>VLOOKUP('[1]New Data'!A173,'[1]New Data'!A:Q,17,0)</f>
        <v>1300.6680550000001</v>
      </c>
      <c r="L203" s="3" t="str">
        <f>VLOOKUP('[1]New Data'!A203,'[1]New Data'!A:S,19,0)</f>
        <v>Books</v>
      </c>
      <c r="M203" s="3" t="str">
        <f>VLOOKUP('[1]New Data'!A203,'[1]New Data'!A:T,20,0)</f>
        <v>Non-Fiction</v>
      </c>
      <c r="N203" s="5">
        <f>VLOOKUP('[1]New Data'!A173,'[1]New Data'!A:Z,25,0)</f>
        <v>4</v>
      </c>
    </row>
    <row r="204" spans="1:14" hidden="1" x14ac:dyDescent="0.35">
      <c r="A204" s="2">
        <v>2982163</v>
      </c>
      <c r="B204" s="2">
        <v>50952</v>
      </c>
      <c r="C204" s="2" t="s">
        <v>220</v>
      </c>
      <c r="D204" s="2" t="s">
        <v>15</v>
      </c>
      <c r="E204" s="3">
        <f>VLOOKUP('[1]New Data'!A96,'[1]New Data'!A:H,8,0)</f>
        <v>49</v>
      </c>
      <c r="F204" s="3" t="str">
        <f>VLOOKUP('[1]New Data'!A96,'[1]New Data'!A:J,10,0)</f>
        <v>Female</v>
      </c>
      <c r="G204" s="3" t="str">
        <f>VLOOKUP('[1]New Data'!A96,'[1]New Data'!A:K,11,0)</f>
        <v>Medium</v>
      </c>
      <c r="H204" s="4">
        <f>VLOOKUP('[1]New Data'!A96,'[1]New Data'!A:M,13,0)</f>
        <v>44990</v>
      </c>
      <c r="I204" s="5">
        <f>VLOOKUP('[1]New Data'!A96,'[1]New Data'!A:O,15,0)</f>
        <v>3</v>
      </c>
      <c r="J204" s="3">
        <f>VLOOKUP('[1]New Data'!A96,'[1]New Data'!A:P,16,0)</f>
        <v>427.59478369999999</v>
      </c>
      <c r="K204" s="3">
        <f>VLOOKUP('[1]New Data'!A96,'[1]New Data'!A:Q,17,0)</f>
        <v>1282.784351</v>
      </c>
      <c r="L204" s="3" t="str">
        <f>VLOOKUP('[1]New Data'!A204,'[1]New Data'!A:S,19,0)</f>
        <v>Grocery</v>
      </c>
      <c r="M204" s="3" t="str">
        <f>VLOOKUP('[1]New Data'!A204,'[1]New Data'!A:T,20,0)</f>
        <v>Soft Drink</v>
      </c>
      <c r="N204" s="5">
        <f>VLOOKUP('[1]New Data'!A96,'[1]New Data'!A:Z,25,0)</f>
        <v>1</v>
      </c>
    </row>
    <row r="205" spans="1:14" hidden="1" x14ac:dyDescent="0.35">
      <c r="A205" s="2">
        <v>9889077</v>
      </c>
      <c r="B205" s="2">
        <v>67818</v>
      </c>
      <c r="C205" s="2" t="s">
        <v>221</v>
      </c>
      <c r="D205" s="2" t="s">
        <v>15</v>
      </c>
      <c r="E205" s="3">
        <f>VLOOKUP('[1]New Data'!A451,'[1]New Data'!A:H,8,0)</f>
        <v>27</v>
      </c>
      <c r="F205" s="3" t="str">
        <f>VLOOKUP('[1]New Data'!A451,'[1]New Data'!A:J,10,0)</f>
        <v>Female</v>
      </c>
      <c r="G205" s="3" t="str">
        <f>VLOOKUP('[1]New Data'!A451,'[1]New Data'!A:K,11,0)</f>
        <v>Medium</v>
      </c>
      <c r="H205" s="4">
        <f>VLOOKUP('[1]New Data'!A451,'[1]New Data'!A:M,13,0)</f>
        <v>45023</v>
      </c>
      <c r="I205" s="5">
        <f>VLOOKUP('[1]New Data'!A451,'[1]New Data'!A:O,15,0)</f>
        <v>8</v>
      </c>
      <c r="J205" s="3">
        <f>VLOOKUP('[1]New Data'!A451,'[1]New Data'!A:P,16,0)</f>
        <v>160.08705230000001</v>
      </c>
      <c r="K205" s="3">
        <f>VLOOKUP('[1]New Data'!A451,'[1]New Data'!A:Q,17,0)</f>
        <v>1280.696418</v>
      </c>
      <c r="L205" s="3" t="str">
        <f>VLOOKUP('[1]New Data'!A205,'[1]New Data'!A:S,19,0)</f>
        <v>Electronics</v>
      </c>
      <c r="M205" s="3" t="str">
        <f>VLOOKUP('[1]New Data'!A205,'[1]New Data'!A:T,20,0)</f>
        <v>Smartphone</v>
      </c>
      <c r="N205" s="5">
        <f>VLOOKUP('[1]New Data'!A451,'[1]New Data'!A:Z,25,0)</f>
        <v>5</v>
      </c>
    </row>
    <row r="206" spans="1:14" hidden="1" x14ac:dyDescent="0.35">
      <c r="A206" s="2">
        <v>8744927</v>
      </c>
      <c r="B206" s="2">
        <v>39728</v>
      </c>
      <c r="C206" s="2" t="s">
        <v>222</v>
      </c>
      <c r="D206" s="2" t="s">
        <v>15</v>
      </c>
      <c r="E206" s="3">
        <f>VLOOKUP('[1]New Data'!A176,'[1]New Data'!A:H,8,0)</f>
        <v>50</v>
      </c>
      <c r="F206" s="3" t="str">
        <f>VLOOKUP('[1]New Data'!A176,'[1]New Data'!A:J,10,0)</f>
        <v>Male</v>
      </c>
      <c r="G206" s="3" t="str">
        <f>VLOOKUP('[1]New Data'!A176,'[1]New Data'!A:K,11,0)</f>
        <v>High</v>
      </c>
      <c r="H206" s="4">
        <f>VLOOKUP('[1]New Data'!A176,'[1]New Data'!A:M,13,0)</f>
        <v>45130</v>
      </c>
      <c r="I206" s="5">
        <f>VLOOKUP('[1]New Data'!A176,'[1]New Data'!A:O,15,0)</f>
        <v>5.1843687374749496</v>
      </c>
      <c r="J206" s="3">
        <f>VLOOKUP('[1]New Data'!A176,'[1]New Data'!A:P,16,0)</f>
        <v>417.03400149999999</v>
      </c>
      <c r="K206" s="3">
        <f>VLOOKUP('[1]New Data'!A176,'[1]New Data'!A:Q,17,0)</f>
        <v>1251.102005</v>
      </c>
      <c r="L206" s="3" t="str">
        <f>VLOOKUP('[1]New Data'!A206,'[1]New Data'!A:S,19,0)</f>
        <v>Electronics</v>
      </c>
      <c r="M206" s="3" t="str">
        <f>VLOOKUP('[1]New Data'!A206,'[1]New Data'!A:T,20,0)</f>
        <v>Tablet</v>
      </c>
      <c r="N206" s="5">
        <f>VLOOKUP('[1]New Data'!A176,'[1]New Data'!A:Z,25,0)</f>
        <v>2</v>
      </c>
    </row>
    <row r="207" spans="1:14" x14ac:dyDescent="0.35">
      <c r="A207" s="2">
        <v>4419654</v>
      </c>
      <c r="B207" s="2">
        <v>21444</v>
      </c>
      <c r="C207" s="2" t="s">
        <v>223</v>
      </c>
      <c r="D207" s="2" t="s">
        <v>15</v>
      </c>
      <c r="E207" s="3">
        <f>VLOOKUP('[1]New Data'!A79,'[1]New Data'!A:H,8,0)</f>
        <v>30</v>
      </c>
      <c r="F207" s="3" t="str">
        <f>VLOOKUP('[1]New Data'!A79,'[1]New Data'!A:J,10,0)</f>
        <v>Male</v>
      </c>
      <c r="G207" s="3" t="str">
        <f>VLOOKUP('[1]New Data'!A79,'[1]New Data'!A:K,11,0)</f>
        <v>Medium</v>
      </c>
      <c r="H207" s="4">
        <f>VLOOKUP('[1]New Data'!A79,'[1]New Data'!A:M,13,0)</f>
        <v>45229</v>
      </c>
      <c r="I207" s="5">
        <f>VLOOKUP('[1]New Data'!A79,'[1]New Data'!A:O,15,0)</f>
        <v>4</v>
      </c>
      <c r="J207" s="3">
        <f>VLOOKUP('[1]New Data'!A79,'[1]New Data'!A:P,16,0)</f>
        <v>312.4280564</v>
      </c>
      <c r="K207" s="3">
        <f>VLOOKUP('[1]New Data'!A79,'[1]New Data'!A:Q,17,0)</f>
        <v>1249.7122260000001</v>
      </c>
      <c r="L207" s="3" t="str">
        <f>VLOOKUP('[1]New Data'!A207,'[1]New Data'!A:S,19,0)</f>
        <v>Home Decor</v>
      </c>
      <c r="M207" s="3" t="str">
        <f>VLOOKUP('[1]New Data'!A207,'[1]New Data'!A:T,20,0)</f>
        <v>Furniture</v>
      </c>
      <c r="N207" s="5">
        <f>VLOOKUP('[1]New Data'!A79,'[1]New Data'!A:Z,25,0)</f>
        <v>1</v>
      </c>
    </row>
    <row r="208" spans="1:14" x14ac:dyDescent="0.35">
      <c r="A208" s="2">
        <v>7018142</v>
      </c>
      <c r="B208" s="2">
        <v>67530</v>
      </c>
      <c r="C208" s="2" t="s">
        <v>224</v>
      </c>
      <c r="D208" s="2" t="s">
        <v>15</v>
      </c>
      <c r="E208" s="3">
        <f>VLOOKUP('[1]New Data'!A115,'[1]New Data'!A:H,8,0)</f>
        <v>50</v>
      </c>
      <c r="F208" s="3" t="str">
        <f>VLOOKUP('[1]New Data'!A115,'[1]New Data'!A:J,10,0)</f>
        <v>Male</v>
      </c>
      <c r="G208" s="3" t="str">
        <f>VLOOKUP('[1]New Data'!A115,'[1]New Data'!A:K,11,0)</f>
        <v>Low</v>
      </c>
      <c r="H208" s="4">
        <f>VLOOKUP('[1]New Data'!A115,'[1]New Data'!A:M,13,0)</f>
        <v>45161</v>
      </c>
      <c r="I208" s="5">
        <f>VLOOKUP('[1]New Data'!A115,'[1]New Data'!A:O,15,0)</f>
        <v>7</v>
      </c>
      <c r="J208" s="3">
        <f>VLOOKUP('[1]New Data'!A115,'[1]New Data'!A:P,16,0)</f>
        <v>178.03425110000001</v>
      </c>
      <c r="K208" s="3">
        <f>VLOOKUP('[1]New Data'!A115,'[1]New Data'!A:Q,17,0)</f>
        <v>1246.2397579999999</v>
      </c>
      <c r="L208" s="3" t="str">
        <f>VLOOKUP('[1]New Data'!A208,'[1]New Data'!A:S,19,0)</f>
        <v>Home Decor</v>
      </c>
      <c r="M208" s="3" t="str">
        <f>VLOOKUP('[1]New Data'!A208,'[1]New Data'!A:T,20,0)</f>
        <v>Tools</v>
      </c>
      <c r="N208" s="5">
        <f>VLOOKUP('[1]New Data'!A115,'[1]New Data'!A:Z,25,0)</f>
        <v>4</v>
      </c>
    </row>
    <row r="209" spans="1:14" hidden="1" x14ac:dyDescent="0.35">
      <c r="A209" s="2">
        <v>5696111</v>
      </c>
      <c r="B209" s="2">
        <v>28956</v>
      </c>
      <c r="C209" s="2" t="s">
        <v>225</v>
      </c>
      <c r="D209" s="2" t="s">
        <v>15</v>
      </c>
      <c r="E209" s="3">
        <f>VLOOKUP('[1]New Data'!A78,'[1]New Data'!A:H,8,0)</f>
        <v>43</v>
      </c>
      <c r="F209" s="3" t="str">
        <f>VLOOKUP('[1]New Data'!A78,'[1]New Data'!A:J,10,0)</f>
        <v>Female</v>
      </c>
      <c r="G209" s="3" t="str">
        <f>VLOOKUP('[1]New Data'!A78,'[1]New Data'!A:K,11,0)</f>
        <v>Low</v>
      </c>
      <c r="H209" s="4">
        <f>VLOOKUP('[1]New Data'!A78,'[1]New Data'!A:M,13,0)</f>
        <v>45156</v>
      </c>
      <c r="I209" s="5">
        <f>VLOOKUP('[1]New Data'!A78,'[1]New Data'!A:O,15,0)</f>
        <v>3</v>
      </c>
      <c r="J209" s="3">
        <f>VLOOKUP('[1]New Data'!A78,'[1]New Data'!A:P,16,0)</f>
        <v>413.76251100000002</v>
      </c>
      <c r="K209" s="3">
        <f>VLOOKUP('[1]New Data'!A78,'[1]New Data'!A:Q,17,0)</f>
        <v>1241.2875329999999</v>
      </c>
      <c r="L209" s="3" t="str">
        <f>VLOOKUP('[1]New Data'!A209,'[1]New Data'!A:S,19,0)</f>
        <v>Electronics</v>
      </c>
      <c r="M209" s="3" t="str">
        <f>VLOOKUP('[1]New Data'!A209,'[1]New Data'!A:T,20,0)</f>
        <v>Smartphone</v>
      </c>
      <c r="N209" s="5">
        <f>VLOOKUP('[1]New Data'!A78,'[1]New Data'!A:Z,25,0)</f>
        <v>4</v>
      </c>
    </row>
    <row r="210" spans="1:14" x14ac:dyDescent="0.35">
      <c r="A210" s="2">
        <v>9261762</v>
      </c>
      <c r="B210" s="2">
        <v>98764</v>
      </c>
      <c r="C210" s="2" t="s">
        <v>226</v>
      </c>
      <c r="D210" s="2" t="s">
        <v>15</v>
      </c>
      <c r="E210" s="3">
        <f>VLOOKUP('[1]New Data'!A442,'[1]New Data'!A:H,8,0)</f>
        <v>53</v>
      </c>
      <c r="F210" s="3" t="str">
        <f>VLOOKUP('[1]New Data'!A442,'[1]New Data'!A:J,10,0)</f>
        <v>Male</v>
      </c>
      <c r="G210" s="3" t="str">
        <f>VLOOKUP('[1]New Data'!A442,'[1]New Data'!A:K,11,0)</f>
        <v>High</v>
      </c>
      <c r="H210" s="4">
        <f>VLOOKUP('[1]New Data'!A442,'[1]New Data'!A:M,13,0)</f>
        <v>45109</v>
      </c>
      <c r="I210" s="5">
        <f>VLOOKUP('[1]New Data'!A442,'[1]New Data'!A:O,15,0)</f>
        <v>4</v>
      </c>
      <c r="J210" s="3">
        <f>VLOOKUP('[1]New Data'!A442,'[1]New Data'!A:P,16,0)</f>
        <v>309.96363819999999</v>
      </c>
      <c r="K210" s="3">
        <f>VLOOKUP('[1]New Data'!A442,'[1]New Data'!A:Q,17,0)</f>
        <v>1239.8545529999999</v>
      </c>
      <c r="L210" s="3" t="str">
        <f>VLOOKUP('[1]New Data'!A210,'[1]New Data'!A:S,19,0)</f>
        <v>Home Decor</v>
      </c>
      <c r="M210" s="3" t="str">
        <f>VLOOKUP('[1]New Data'!A210,'[1]New Data'!A:T,20,0)</f>
        <v>Kitchen</v>
      </c>
      <c r="N210" s="5">
        <f>VLOOKUP('[1]New Data'!A442,'[1]New Data'!A:Z,25,0)</f>
        <v>3</v>
      </c>
    </row>
    <row r="211" spans="1:14" hidden="1" x14ac:dyDescent="0.35">
      <c r="A211" s="2">
        <v>5313296</v>
      </c>
      <c r="B211" s="2">
        <v>31512</v>
      </c>
      <c r="C211" s="2" t="s">
        <v>227</v>
      </c>
      <c r="D211" s="2" t="s">
        <v>15</v>
      </c>
      <c r="E211" s="3">
        <f>VLOOKUP('[1]New Data'!A275,'[1]New Data'!A:H,8,0)</f>
        <v>67</v>
      </c>
      <c r="F211" s="3" t="str">
        <f>VLOOKUP('[1]New Data'!A275,'[1]New Data'!A:J,10,0)</f>
        <v>Male</v>
      </c>
      <c r="G211" s="3" t="str">
        <f>VLOOKUP('[1]New Data'!A275,'[1]New Data'!A:K,11,0)</f>
        <v>High</v>
      </c>
      <c r="H211" s="4">
        <f>VLOOKUP('[1]New Data'!A275,'[1]New Data'!A:M,13,0)</f>
        <v>44988</v>
      </c>
      <c r="I211" s="5">
        <f>VLOOKUP('[1]New Data'!A275,'[1]New Data'!A:O,15,0)</f>
        <v>3</v>
      </c>
      <c r="J211" s="3">
        <f>VLOOKUP('[1]New Data'!A275,'[1]New Data'!A:P,16,0)</f>
        <v>412.75704039999999</v>
      </c>
      <c r="K211" s="3">
        <f>VLOOKUP('[1]New Data'!A275,'[1]New Data'!A:Q,17,0)</f>
        <v>1238.271121</v>
      </c>
      <c r="L211" s="3" t="str">
        <f>VLOOKUP('[1]New Data'!A211,'[1]New Data'!A:S,19,0)</f>
        <v>Grocery</v>
      </c>
      <c r="M211" s="3" t="str">
        <f>VLOOKUP('[1]New Data'!A211,'[1]New Data'!A:T,20,0)</f>
        <v>Water</v>
      </c>
      <c r="N211" s="5">
        <f>VLOOKUP('[1]New Data'!A275,'[1]New Data'!A:Z,25,0)</f>
        <v>4</v>
      </c>
    </row>
    <row r="212" spans="1:14" x14ac:dyDescent="0.35">
      <c r="A212" s="2">
        <v>6023169</v>
      </c>
      <c r="B212" s="2">
        <v>64153</v>
      </c>
      <c r="C212" s="2" t="s">
        <v>228</v>
      </c>
      <c r="D212" s="2" t="s">
        <v>15</v>
      </c>
      <c r="E212" s="3">
        <f>VLOOKUP('[1]New Data'!A387,'[1]New Data'!A:H,8,0)</f>
        <v>28</v>
      </c>
      <c r="F212" s="3" t="str">
        <f>VLOOKUP('[1]New Data'!A387,'[1]New Data'!A:J,10,0)</f>
        <v>Female</v>
      </c>
      <c r="G212" s="3" t="str">
        <f>VLOOKUP('[1]New Data'!A387,'[1]New Data'!A:K,11,0)</f>
        <v>Medium</v>
      </c>
      <c r="H212" s="4">
        <f>VLOOKUP('[1]New Data'!A387,'[1]New Data'!A:M,13,0)</f>
        <v>45279</v>
      </c>
      <c r="I212" s="5">
        <f>VLOOKUP('[1]New Data'!A387,'[1]New Data'!A:O,15,0)</f>
        <v>6</v>
      </c>
      <c r="J212" s="3">
        <f>VLOOKUP('[1]New Data'!A387,'[1]New Data'!A:P,16,0)</f>
        <v>204.40173559999999</v>
      </c>
      <c r="K212" s="3">
        <f>VLOOKUP('[1]New Data'!A387,'[1]New Data'!A:Q,17,0)</f>
        <v>1226.4104130000001</v>
      </c>
      <c r="L212" s="3" t="str">
        <f>VLOOKUP('[1]New Data'!A212,'[1]New Data'!A:S,19,0)</f>
        <v>Home Decor</v>
      </c>
      <c r="M212" s="3" t="str">
        <f>VLOOKUP('[1]New Data'!A212,'[1]New Data'!A:T,20,0)</f>
        <v>Decorations</v>
      </c>
      <c r="N212" s="5">
        <f>VLOOKUP('[1]New Data'!A387,'[1]New Data'!A:Z,25,0)</f>
        <v>3</v>
      </c>
    </row>
    <row r="213" spans="1:14" hidden="1" x14ac:dyDescent="0.35">
      <c r="A213" s="2">
        <v>8117738</v>
      </c>
      <c r="B213" s="2">
        <v>61206</v>
      </c>
      <c r="C213" s="2" t="s">
        <v>229</v>
      </c>
      <c r="D213" s="2" t="s">
        <v>15</v>
      </c>
      <c r="E213" s="3">
        <f>VLOOKUP('[1]New Data'!A200,'[1]New Data'!A:H,8,0)</f>
        <v>34</v>
      </c>
      <c r="F213" s="3" t="str">
        <f>VLOOKUP('[1]New Data'!A200,'[1]New Data'!A:J,10,0)</f>
        <v>Male</v>
      </c>
      <c r="G213" s="3" t="str">
        <f>VLOOKUP('[1]New Data'!A200,'[1]New Data'!A:K,11,0)</f>
        <v>Medium</v>
      </c>
      <c r="H213" s="4">
        <f>VLOOKUP('[1]New Data'!A200,'[1]New Data'!A:M,13,0)</f>
        <v>45260</v>
      </c>
      <c r="I213" s="5">
        <f>VLOOKUP('[1]New Data'!A200,'[1]New Data'!A:O,15,0)</f>
        <v>4</v>
      </c>
      <c r="J213" s="3">
        <f>VLOOKUP('[1]New Data'!A200,'[1]New Data'!A:P,16,0)</f>
        <v>304.07871940000001</v>
      </c>
      <c r="K213" s="3">
        <f>VLOOKUP('[1]New Data'!A200,'[1]New Data'!A:Q,17,0)</f>
        <v>1216.3148779999999</v>
      </c>
      <c r="L213" s="3" t="str">
        <f>VLOOKUP('[1]New Data'!A213,'[1]New Data'!A:S,19,0)</f>
        <v>Clothing</v>
      </c>
      <c r="M213" s="3" t="str">
        <f>VLOOKUP('[1]New Data'!A213,'[1]New Data'!A:T,20,0)</f>
        <v>Shirt</v>
      </c>
      <c r="N213" s="5">
        <f>VLOOKUP('[1]New Data'!A200,'[1]New Data'!A:Z,25,0)</f>
        <v>1</v>
      </c>
    </row>
    <row r="214" spans="1:14" hidden="1" x14ac:dyDescent="0.35">
      <c r="A214" s="2">
        <v>6315151</v>
      </c>
      <c r="B214" s="2">
        <v>75456</v>
      </c>
      <c r="C214" s="2" t="s">
        <v>230</v>
      </c>
      <c r="D214" s="2" t="s">
        <v>15</v>
      </c>
      <c r="E214" s="3">
        <f>VLOOKUP('[1]New Data'!A55,'[1]New Data'!A:H,8,0)</f>
        <v>38</v>
      </c>
      <c r="F214" s="3" t="str">
        <f>VLOOKUP('[1]New Data'!A55,'[1]New Data'!A:J,10,0)</f>
        <v>Female</v>
      </c>
      <c r="G214" s="3" t="str">
        <f>VLOOKUP('[1]New Data'!A55,'[1]New Data'!A:K,11,0)</f>
        <v>High</v>
      </c>
      <c r="H214" s="4">
        <f>VLOOKUP('[1]New Data'!A55,'[1]New Data'!A:M,13,0)</f>
        <v>45202</v>
      </c>
      <c r="I214" s="5">
        <f>VLOOKUP('[1]New Data'!A55,'[1]New Data'!A:O,15,0)</f>
        <v>4</v>
      </c>
      <c r="J214" s="3">
        <f>VLOOKUP('[1]New Data'!A55,'[1]New Data'!A:P,16,0)</f>
        <v>303.78986450000002</v>
      </c>
      <c r="K214" s="3">
        <f>VLOOKUP('[1]New Data'!A55,'[1]New Data'!A:Q,17,0)</f>
        <v>1215.1594580000001</v>
      </c>
      <c r="L214" s="3" t="str">
        <f>VLOOKUP('[1]New Data'!A214,'[1]New Data'!A:S,19,0)</f>
        <v>Clothing</v>
      </c>
      <c r="M214" s="3" t="str">
        <f>VLOOKUP('[1]New Data'!A214,'[1]New Data'!A:T,20,0)</f>
        <v>Dress</v>
      </c>
      <c r="N214" s="5">
        <f>VLOOKUP('[1]New Data'!A55,'[1]New Data'!A:Z,25,0)</f>
        <v>1</v>
      </c>
    </row>
    <row r="215" spans="1:14" hidden="1" x14ac:dyDescent="0.35">
      <c r="A215" s="2">
        <v>9470637</v>
      </c>
      <c r="B215" s="2">
        <v>47082</v>
      </c>
      <c r="C215" s="2" t="s">
        <v>231</v>
      </c>
      <c r="D215" s="2" t="s">
        <v>15</v>
      </c>
      <c r="E215" s="3">
        <f>VLOOKUP('[1]New Data'!A474,'[1]New Data'!A:H,8,0)</f>
        <v>54</v>
      </c>
      <c r="F215" s="3" t="str">
        <f>VLOOKUP('[1]New Data'!A474,'[1]New Data'!A:J,10,0)</f>
        <v>Female</v>
      </c>
      <c r="G215" s="3" t="str">
        <f>VLOOKUP('[1]New Data'!A474,'[1]New Data'!A:K,11,0)</f>
        <v>Low</v>
      </c>
      <c r="H215" s="4">
        <f>VLOOKUP('[1]New Data'!A474,'[1]New Data'!A:M,13,0)</f>
        <v>45177</v>
      </c>
      <c r="I215" s="5">
        <f>VLOOKUP('[1]New Data'!A474,'[1]New Data'!A:O,15,0)</f>
        <v>7</v>
      </c>
      <c r="J215" s="3">
        <f>VLOOKUP('[1]New Data'!A474,'[1]New Data'!A:P,16,0)</f>
        <v>171.51767770000001</v>
      </c>
      <c r="K215" s="3">
        <f>VLOOKUP('[1]New Data'!A474,'[1]New Data'!A:Q,17,0)</f>
        <v>1200.623744</v>
      </c>
      <c r="L215" s="3" t="str">
        <f>VLOOKUP('[1]New Data'!A215,'[1]New Data'!A:S,19,0)</f>
        <v>Electronics</v>
      </c>
      <c r="M215" s="3" t="str">
        <f>VLOOKUP('[1]New Data'!A215,'[1]New Data'!A:T,20,0)</f>
        <v>Headphones</v>
      </c>
      <c r="N215" s="5">
        <f>VLOOKUP('[1]New Data'!A474,'[1]New Data'!A:Z,25,0)</f>
        <v>2</v>
      </c>
    </row>
    <row r="216" spans="1:14" hidden="1" x14ac:dyDescent="0.35">
      <c r="A216" s="2">
        <v>8400644</v>
      </c>
      <c r="B216" s="2">
        <v>33277</v>
      </c>
      <c r="C216" s="2" t="s">
        <v>232</v>
      </c>
      <c r="D216" s="2" t="s">
        <v>15</v>
      </c>
      <c r="E216" s="3">
        <f>VLOOKUP('[1]New Data'!A159,'[1]New Data'!A:H,8,0)</f>
        <v>68</v>
      </c>
      <c r="F216" s="3" t="str">
        <f>VLOOKUP('[1]New Data'!A159,'[1]New Data'!A:J,10,0)</f>
        <v>Male</v>
      </c>
      <c r="G216" s="3" t="str">
        <f>VLOOKUP('[1]New Data'!A159,'[1]New Data'!A:K,11,0)</f>
        <v>Medium</v>
      </c>
      <c r="H216" s="4">
        <f>VLOOKUP('[1]New Data'!A159,'[1]New Data'!A:M,13,0)</f>
        <v>45120</v>
      </c>
      <c r="I216" s="5">
        <f>VLOOKUP('[1]New Data'!A159,'[1]New Data'!A:O,15,0)</f>
        <v>4</v>
      </c>
      <c r="J216" s="3">
        <f>VLOOKUP('[1]New Data'!A159,'[1]New Data'!A:P,16,0)</f>
        <v>299.93041369999997</v>
      </c>
      <c r="K216" s="3">
        <f>VLOOKUP('[1]New Data'!A159,'[1]New Data'!A:Q,17,0)</f>
        <v>1199.7216550000001</v>
      </c>
      <c r="L216" s="3" t="str">
        <f>VLOOKUP('[1]New Data'!A216,'[1]New Data'!A:S,19,0)</f>
        <v>Electronics</v>
      </c>
      <c r="M216" s="3" t="str">
        <f>VLOOKUP('[1]New Data'!A216,'[1]New Data'!A:T,20,0)</f>
        <v>Smartphone</v>
      </c>
      <c r="N216" s="5">
        <f>VLOOKUP('[1]New Data'!A159,'[1]New Data'!A:Z,25,0)</f>
        <v>1</v>
      </c>
    </row>
    <row r="217" spans="1:14" hidden="1" x14ac:dyDescent="0.35">
      <c r="A217" s="2">
        <v>8748941</v>
      </c>
      <c r="B217" s="2">
        <v>77875</v>
      </c>
      <c r="C217" s="2" t="s">
        <v>233</v>
      </c>
      <c r="D217" s="2" t="s">
        <v>15</v>
      </c>
      <c r="E217" s="3">
        <f>VLOOKUP('[1]New Data'!A112,'[1]New Data'!A:H,8,0)</f>
        <v>65</v>
      </c>
      <c r="F217" s="3" t="str">
        <f>VLOOKUP('[1]New Data'!A112,'[1]New Data'!A:J,10,0)</f>
        <v>Male</v>
      </c>
      <c r="G217" s="3" t="str">
        <f>VLOOKUP('[1]New Data'!A112,'[1]New Data'!A:K,11,0)</f>
        <v>Medium</v>
      </c>
      <c r="H217" s="4">
        <f>VLOOKUP('[1]New Data'!A112,'[1]New Data'!A:M,13,0)</f>
        <v>45305</v>
      </c>
      <c r="I217" s="5">
        <f>VLOOKUP('[1]New Data'!A112,'[1]New Data'!A:O,15,0)</f>
        <v>3</v>
      </c>
      <c r="J217" s="3">
        <f>VLOOKUP('[1]New Data'!A112,'[1]New Data'!A:P,16,0)</f>
        <v>399.37262370000002</v>
      </c>
      <c r="K217" s="3">
        <f>VLOOKUP('[1]New Data'!A112,'[1]New Data'!A:Q,17,0)</f>
        <v>1198.1178709999999</v>
      </c>
      <c r="L217" s="3" t="str">
        <f>VLOOKUP('[1]New Data'!A217,'[1]New Data'!A:S,19,0)</f>
        <v>Clothing</v>
      </c>
      <c r="M217" s="3" t="str">
        <f>VLOOKUP('[1]New Data'!A217,'[1]New Data'!A:T,20,0)</f>
        <v>Shoes</v>
      </c>
      <c r="N217" s="5">
        <f>VLOOKUP('[1]New Data'!A112,'[1]New Data'!A:Z,25,0)</f>
        <v>3</v>
      </c>
    </row>
    <row r="218" spans="1:14" hidden="1" x14ac:dyDescent="0.35">
      <c r="A218" s="2">
        <v>2530387</v>
      </c>
      <c r="B218" s="2">
        <v>82606</v>
      </c>
      <c r="C218" s="2" t="s">
        <v>234</v>
      </c>
      <c r="D218" s="2" t="s">
        <v>15</v>
      </c>
      <c r="E218" s="3">
        <f>VLOOKUP('[1]New Data'!A468,'[1]New Data'!A:H,8,0)</f>
        <v>28</v>
      </c>
      <c r="F218" s="3" t="str">
        <f>VLOOKUP('[1]New Data'!A468,'[1]New Data'!A:J,10,0)</f>
        <v>Male</v>
      </c>
      <c r="G218" s="3" t="str">
        <f>VLOOKUP('[1]New Data'!A468,'[1]New Data'!A:K,11,0)</f>
        <v>Low</v>
      </c>
      <c r="H218" s="4">
        <f>VLOOKUP('[1]New Data'!A468,'[1]New Data'!A:M,13,0)</f>
        <v>45217</v>
      </c>
      <c r="I218" s="5">
        <f>VLOOKUP('[1]New Data'!A468,'[1]New Data'!A:O,15,0)</f>
        <v>5</v>
      </c>
      <c r="J218" s="3">
        <f>VLOOKUP('[1]New Data'!A468,'[1]New Data'!A:P,16,0)</f>
        <v>239.54796339999999</v>
      </c>
      <c r="K218" s="3">
        <f>VLOOKUP('[1]New Data'!A468,'[1]New Data'!A:Q,17,0)</f>
        <v>1197.7398169999999</v>
      </c>
      <c r="L218" s="3" t="str">
        <f>VLOOKUP('[1]New Data'!A218,'[1]New Data'!A:S,19,0)</f>
        <v>Books</v>
      </c>
      <c r="M218" s="3" t="str">
        <f>VLOOKUP('[1]New Data'!A218,'[1]New Data'!A:T,20,0)</f>
        <v>Non-Fiction</v>
      </c>
      <c r="N218" s="5">
        <f>VLOOKUP('[1]New Data'!A468,'[1]New Data'!A:Z,25,0)</f>
        <v>1</v>
      </c>
    </row>
    <row r="219" spans="1:14" hidden="1" x14ac:dyDescent="0.35">
      <c r="A219" s="2">
        <v>4530973</v>
      </c>
      <c r="B219" s="2">
        <v>87673</v>
      </c>
      <c r="C219" s="2" t="s">
        <v>235</v>
      </c>
      <c r="D219" s="2" t="s">
        <v>15</v>
      </c>
      <c r="E219" s="3">
        <f>VLOOKUP('[1]New Data'!A370,'[1]New Data'!A:H,8,0)</f>
        <v>19</v>
      </c>
      <c r="F219" s="3" t="str">
        <f>VLOOKUP('[1]New Data'!A370,'[1]New Data'!A:J,10,0)</f>
        <v>Female</v>
      </c>
      <c r="G219" s="3" t="str">
        <f>VLOOKUP('[1]New Data'!A370,'[1]New Data'!A:K,11,0)</f>
        <v>Medium</v>
      </c>
      <c r="H219" s="4">
        <f>VLOOKUP('[1]New Data'!A370,'[1]New Data'!A:M,13,0)</f>
        <v>44989</v>
      </c>
      <c r="I219" s="5">
        <f>VLOOKUP('[1]New Data'!A370,'[1]New Data'!A:O,15,0)</f>
        <v>3</v>
      </c>
      <c r="J219" s="3">
        <f>VLOOKUP('[1]New Data'!A370,'[1]New Data'!A:P,16,0)</f>
        <v>397.69263919999997</v>
      </c>
      <c r="K219" s="3">
        <f>VLOOKUP('[1]New Data'!A370,'[1]New Data'!A:Q,17,0)</f>
        <v>1193.077918</v>
      </c>
      <c r="L219" s="3" t="str">
        <f>VLOOKUP('[1]New Data'!A219,'[1]New Data'!A:S,19,0)</f>
        <v>Clothing</v>
      </c>
      <c r="M219" s="3" t="str">
        <f>VLOOKUP('[1]New Data'!A219,'[1]New Data'!A:T,20,0)</f>
        <v>Shirt</v>
      </c>
      <c r="N219" s="5">
        <f>VLOOKUP('[1]New Data'!A370,'[1]New Data'!A:Z,25,0)</f>
        <v>2</v>
      </c>
    </row>
    <row r="220" spans="1:14" hidden="1" x14ac:dyDescent="0.35">
      <c r="A220" s="2">
        <v>6095326</v>
      </c>
      <c r="B220" s="2">
        <v>41289</v>
      </c>
      <c r="C220" s="2" t="s">
        <v>236</v>
      </c>
      <c r="D220" s="2" t="s">
        <v>237</v>
      </c>
      <c r="E220" s="3">
        <f>VLOOKUP('[1]New Data'!A7,'[1]New Data'!A:H,8,0)</f>
        <v>58</v>
      </c>
      <c r="F220" s="3" t="str">
        <f>VLOOKUP('[1]New Data'!A7,'[1]New Data'!A:J,10,0)</f>
        <v>Female</v>
      </c>
      <c r="G220" s="3" t="str">
        <f>VLOOKUP('[1]New Data'!A7,'[1]New Data'!A:K,11,0)</f>
        <v>Medium</v>
      </c>
      <c r="H220" s="4">
        <f>VLOOKUP('[1]New Data'!A7,'[1]New Data'!A:M,13,0)</f>
        <v>45190</v>
      </c>
      <c r="I220" s="5">
        <f>VLOOKUP('[1]New Data'!A7,'[1]New Data'!A:O,15,0)</f>
        <v>4</v>
      </c>
      <c r="J220" s="3">
        <f>VLOOKUP('[1]New Data'!A7,'[1]New Data'!A:P,16,0)</f>
        <v>296.29180589999999</v>
      </c>
      <c r="K220" s="3">
        <f>VLOOKUP('[1]New Data'!A7,'[1]New Data'!A:Q,17,0)</f>
        <v>1185.167224</v>
      </c>
      <c r="L220" s="3" t="str">
        <f>VLOOKUP('[1]New Data'!A220,'[1]New Data'!A:S,19,0)</f>
        <v>Clothing</v>
      </c>
      <c r="M220" s="3" t="str">
        <f>VLOOKUP('[1]New Data'!A220,'[1]New Data'!A:T,20,0)</f>
        <v>Jacket</v>
      </c>
      <c r="N220" s="5">
        <f>VLOOKUP('[1]New Data'!A7,'[1]New Data'!A:Z,25,0)</f>
        <v>4</v>
      </c>
    </row>
    <row r="221" spans="1:14" x14ac:dyDescent="0.35">
      <c r="A221" s="2">
        <v>4580441</v>
      </c>
      <c r="B221" s="2">
        <v>12911</v>
      </c>
      <c r="C221" s="2" t="s">
        <v>238</v>
      </c>
      <c r="D221" s="2" t="s">
        <v>15</v>
      </c>
      <c r="E221" s="3">
        <f>VLOOKUP('[1]New Data'!A53,'[1]New Data'!A:H,8,0)</f>
        <v>69</v>
      </c>
      <c r="F221" s="3" t="str">
        <f>VLOOKUP('[1]New Data'!A53,'[1]New Data'!A:J,10,0)</f>
        <v>Male</v>
      </c>
      <c r="G221" s="3" t="str">
        <f>VLOOKUP('[1]New Data'!A53,'[1]New Data'!A:K,11,0)</f>
        <v>High</v>
      </c>
      <c r="H221" s="4">
        <f>VLOOKUP('[1]New Data'!A53,'[1]New Data'!A:M,13,0)</f>
        <v>45241</v>
      </c>
      <c r="I221" s="5">
        <f>VLOOKUP('[1]New Data'!A53,'[1]New Data'!A:O,15,0)</f>
        <v>3</v>
      </c>
      <c r="J221" s="3">
        <f>VLOOKUP('[1]New Data'!A53,'[1]New Data'!A:P,16,0)</f>
        <v>394.60626559999997</v>
      </c>
      <c r="K221" s="3">
        <f>VLOOKUP('[1]New Data'!A53,'[1]New Data'!A:Q,17,0)</f>
        <v>1183.8187969999999</v>
      </c>
      <c r="L221" s="3" t="str">
        <f>VLOOKUP('[1]New Data'!A221,'[1]New Data'!A:S,19,0)</f>
        <v>Home Decor</v>
      </c>
      <c r="M221" s="3" t="str">
        <f>VLOOKUP('[1]New Data'!A221,'[1]New Data'!A:T,20,0)</f>
        <v>Furniture</v>
      </c>
      <c r="N221" s="5">
        <f>VLOOKUP('[1]New Data'!A53,'[1]New Data'!A:Z,25,0)</f>
        <v>5</v>
      </c>
    </row>
    <row r="222" spans="1:14" x14ac:dyDescent="0.35">
      <c r="A222" s="2">
        <v>5728582</v>
      </c>
      <c r="B222" s="2">
        <v>78509</v>
      </c>
      <c r="C222" s="2" t="s">
        <v>239</v>
      </c>
      <c r="D222" s="2" t="s">
        <v>15</v>
      </c>
      <c r="E222" s="3">
        <f>VLOOKUP('[1]New Data'!A249,'[1]New Data'!A:H,8,0)</f>
        <v>45</v>
      </c>
      <c r="F222" s="3" t="str">
        <f>VLOOKUP('[1]New Data'!A249,'[1]New Data'!A:J,10,0)</f>
        <v>Female</v>
      </c>
      <c r="G222" s="3" t="str">
        <f>VLOOKUP('[1]New Data'!A249,'[1]New Data'!A:K,11,0)</f>
        <v>High</v>
      </c>
      <c r="H222" s="4">
        <f>VLOOKUP('[1]New Data'!A249,'[1]New Data'!A:M,13,0)</f>
        <v>45212</v>
      </c>
      <c r="I222" s="5">
        <f>VLOOKUP('[1]New Data'!A249,'[1]New Data'!A:O,15,0)</f>
        <v>8</v>
      </c>
      <c r="J222" s="3">
        <f>VLOOKUP('[1]New Data'!A249,'[1]New Data'!A:P,16,0)</f>
        <v>146.68880139999999</v>
      </c>
      <c r="K222" s="3">
        <f>VLOOKUP('[1]New Data'!A249,'[1]New Data'!A:Q,17,0)</f>
        <v>1173.510411</v>
      </c>
      <c r="L222" s="3" t="str">
        <f>VLOOKUP('[1]New Data'!A222,'[1]New Data'!A:S,19,0)</f>
        <v>Home Decor</v>
      </c>
      <c r="M222" s="3" t="str">
        <f>VLOOKUP('[1]New Data'!A222,'[1]New Data'!A:T,20,0)</f>
        <v>Kitchen</v>
      </c>
      <c r="N222" s="5">
        <f>VLOOKUP('[1]New Data'!A249,'[1]New Data'!A:Z,25,0)</f>
        <v>4</v>
      </c>
    </row>
    <row r="223" spans="1:14" hidden="1" x14ac:dyDescent="0.35">
      <c r="A223" s="2">
        <v>7029006</v>
      </c>
      <c r="B223" s="2">
        <v>17458</v>
      </c>
      <c r="C223" s="2" t="s">
        <v>240</v>
      </c>
      <c r="D223" s="2" t="s">
        <v>15</v>
      </c>
      <c r="E223" s="3">
        <f>VLOOKUP('[1]New Data'!A363,'[1]New Data'!A:H,8,0)</f>
        <v>44</v>
      </c>
      <c r="F223" s="3" t="str">
        <f>VLOOKUP('[1]New Data'!A363,'[1]New Data'!A:J,10,0)</f>
        <v>Male</v>
      </c>
      <c r="G223" s="3" t="str">
        <f>VLOOKUP('[1]New Data'!A363,'[1]New Data'!A:K,11,0)</f>
        <v>Low</v>
      </c>
      <c r="H223" s="4">
        <f>VLOOKUP('[1]New Data'!A363,'[1]New Data'!A:M,13,0)</f>
        <v>45273</v>
      </c>
      <c r="I223" s="5">
        <f>VLOOKUP('[1]New Data'!A363,'[1]New Data'!A:O,15,0)</f>
        <v>5</v>
      </c>
      <c r="J223" s="3">
        <f>VLOOKUP('[1]New Data'!A363,'[1]New Data'!A:P,16,0)</f>
        <v>233.61145719999999</v>
      </c>
      <c r="K223" s="3">
        <f>VLOOKUP('[1]New Data'!A363,'[1]New Data'!A:Q,17,0)</f>
        <v>1168.057286</v>
      </c>
      <c r="L223" s="3" t="str">
        <f>VLOOKUP('[1]New Data'!A223,'[1]New Data'!A:S,19,0)</f>
        <v>Clothing</v>
      </c>
      <c r="M223" s="3" t="str">
        <f>VLOOKUP('[1]New Data'!A223,'[1]New Data'!A:T,20,0)</f>
        <v>Dress</v>
      </c>
      <c r="N223" s="5">
        <f>VLOOKUP('[1]New Data'!A363,'[1]New Data'!A:Z,25,0)</f>
        <v>4</v>
      </c>
    </row>
    <row r="224" spans="1:14" x14ac:dyDescent="0.35">
      <c r="A224" s="2">
        <v>9046550</v>
      </c>
      <c r="B224" s="2">
        <v>33661</v>
      </c>
      <c r="C224" s="2" t="s">
        <v>241</v>
      </c>
      <c r="D224" s="2" t="s">
        <v>15</v>
      </c>
      <c r="E224" s="3">
        <f>VLOOKUP('[1]New Data'!A256,'[1]New Data'!A:H,8,0)</f>
        <v>64</v>
      </c>
      <c r="F224" s="3" t="str">
        <f>VLOOKUP('[1]New Data'!A256,'[1]New Data'!A:J,10,0)</f>
        <v>Female</v>
      </c>
      <c r="G224" s="3" t="str">
        <f>VLOOKUP('[1]New Data'!A256,'[1]New Data'!A:K,11,0)</f>
        <v>Medium</v>
      </c>
      <c r="H224" s="4">
        <f>VLOOKUP('[1]New Data'!A256,'[1]New Data'!A:M,13,0)</f>
        <v>45192</v>
      </c>
      <c r="I224" s="5">
        <f>VLOOKUP('[1]New Data'!A256,'[1]New Data'!A:O,15,0)</f>
        <v>7</v>
      </c>
      <c r="J224" s="3">
        <f>VLOOKUP('[1]New Data'!A256,'[1]New Data'!A:P,16,0)</f>
        <v>164.22260259999999</v>
      </c>
      <c r="K224" s="3">
        <f>VLOOKUP('[1]New Data'!A256,'[1]New Data'!A:Q,17,0)</f>
        <v>1149.5582179999999</v>
      </c>
      <c r="L224" s="3" t="str">
        <f>VLOOKUP('[1]New Data'!A224,'[1]New Data'!A:S,19,0)</f>
        <v>Home Decor</v>
      </c>
      <c r="M224" s="3" t="str">
        <f>VLOOKUP('[1]New Data'!A224,'[1]New Data'!A:T,20,0)</f>
        <v>Furniture</v>
      </c>
      <c r="N224" s="5">
        <f>VLOOKUP('[1]New Data'!A256,'[1]New Data'!A:Z,25,0)</f>
        <v>1</v>
      </c>
    </row>
    <row r="225" spans="1:14" hidden="1" x14ac:dyDescent="0.35">
      <c r="A225" s="2">
        <v>9703915</v>
      </c>
      <c r="B225" s="2">
        <v>38862</v>
      </c>
      <c r="C225" s="2" t="s">
        <v>242</v>
      </c>
      <c r="D225" s="2" t="s">
        <v>15</v>
      </c>
      <c r="E225" s="3">
        <f>VLOOKUP('[1]New Data'!A104,'[1]New Data'!A:H,8,0)</f>
        <v>50</v>
      </c>
      <c r="F225" s="3" t="str">
        <f>VLOOKUP('[1]New Data'!A104,'[1]New Data'!A:J,10,0)</f>
        <v>Female</v>
      </c>
      <c r="G225" s="3" t="str">
        <f>VLOOKUP('[1]New Data'!A104,'[1]New Data'!A:K,11,0)</f>
        <v>Low</v>
      </c>
      <c r="H225" s="4">
        <f>VLOOKUP('[1]New Data'!A104,'[1]New Data'!A:M,13,0)</f>
        <v>45246</v>
      </c>
      <c r="I225" s="5">
        <f>VLOOKUP('[1]New Data'!A104,'[1]New Data'!A:O,15,0)</f>
        <v>3</v>
      </c>
      <c r="J225" s="3">
        <f>VLOOKUP('[1]New Data'!A104,'[1]New Data'!A:P,16,0)</f>
        <v>380.15765110000001</v>
      </c>
      <c r="K225" s="3">
        <f>VLOOKUP('[1]New Data'!A104,'[1]New Data'!A:Q,17,0)</f>
        <v>1140.472953</v>
      </c>
      <c r="L225" s="3" t="str">
        <f>VLOOKUP('[1]New Data'!A225,'[1]New Data'!A:S,19,0)</f>
        <v>Grocery</v>
      </c>
      <c r="M225" s="3" t="str">
        <f>VLOOKUP('[1]New Data'!A225,'[1]New Data'!A:T,20,0)</f>
        <v>Chocolate</v>
      </c>
      <c r="N225" s="5">
        <f>VLOOKUP('[1]New Data'!A104,'[1]New Data'!A:Z,25,0)</f>
        <v>1</v>
      </c>
    </row>
    <row r="226" spans="1:14" hidden="1" x14ac:dyDescent="0.35">
      <c r="A226" s="2">
        <v>7861294</v>
      </c>
      <c r="B226" s="2">
        <v>46019</v>
      </c>
      <c r="C226" s="2" t="s">
        <v>243</v>
      </c>
      <c r="D226" s="2" t="s">
        <v>15</v>
      </c>
      <c r="E226" s="3">
        <f>VLOOKUP('[1]New Data'!A209,'[1]New Data'!A:H,8,0)</f>
        <v>23</v>
      </c>
      <c r="F226" s="3" t="str">
        <f>VLOOKUP('[1]New Data'!A209,'[1]New Data'!A:J,10,0)</f>
        <v>Male</v>
      </c>
      <c r="G226" s="3" t="str">
        <f>VLOOKUP('[1]New Data'!A209,'[1]New Data'!A:K,11,0)</f>
        <v>Low</v>
      </c>
      <c r="H226" s="4">
        <f>VLOOKUP('[1]New Data'!A209,'[1]New Data'!A:M,13,0)</f>
        <v>45139</v>
      </c>
      <c r="I226" s="5">
        <f>VLOOKUP('[1]New Data'!A209,'[1]New Data'!A:O,15,0)</f>
        <v>4</v>
      </c>
      <c r="J226" s="3">
        <f>VLOOKUP('[1]New Data'!A209,'[1]New Data'!A:P,16,0)</f>
        <v>284.66915519999998</v>
      </c>
      <c r="K226" s="3">
        <f>VLOOKUP('[1]New Data'!A209,'[1]New Data'!A:Q,17,0)</f>
        <v>1138.6766210000001</v>
      </c>
      <c r="L226" s="3" t="str">
        <f>VLOOKUP('[1]New Data'!A226,'[1]New Data'!A:S,19,0)</f>
        <v>Clothing</v>
      </c>
      <c r="M226" s="3" t="str">
        <f>VLOOKUP('[1]New Data'!A226,'[1]New Data'!A:T,20,0)</f>
        <v>Dress</v>
      </c>
      <c r="N226" s="5">
        <f>VLOOKUP('[1]New Data'!A209,'[1]New Data'!A:Z,25,0)</f>
        <v>1</v>
      </c>
    </row>
    <row r="227" spans="1:14" hidden="1" x14ac:dyDescent="0.35">
      <c r="A227" s="2">
        <v>1355949</v>
      </c>
      <c r="B227" s="2">
        <v>21174</v>
      </c>
      <c r="C227" s="2" t="s">
        <v>244</v>
      </c>
      <c r="D227" s="2" t="s">
        <v>15</v>
      </c>
      <c r="E227" s="3">
        <f>VLOOKUP('[1]New Data'!A360,'[1]New Data'!A:H,8,0)</f>
        <v>20</v>
      </c>
      <c r="F227" s="3" t="str">
        <f>VLOOKUP('[1]New Data'!A360,'[1]New Data'!A:J,10,0)</f>
        <v>Male</v>
      </c>
      <c r="G227" s="3" t="str">
        <f>VLOOKUP('[1]New Data'!A360,'[1]New Data'!A:K,11,0)</f>
        <v>Low</v>
      </c>
      <c r="H227" s="4">
        <f>VLOOKUP('[1]New Data'!A360,'[1]New Data'!A:M,13,0)</f>
        <v>45348</v>
      </c>
      <c r="I227" s="5">
        <f>VLOOKUP('[1]New Data'!A360,'[1]New Data'!A:O,15,0)</f>
        <v>4</v>
      </c>
      <c r="J227" s="3">
        <f>VLOOKUP('[1]New Data'!A360,'[1]New Data'!A:P,16,0)</f>
        <v>284.63939729999998</v>
      </c>
      <c r="K227" s="3">
        <f>VLOOKUP('[1]New Data'!A360,'[1]New Data'!A:Q,17,0)</f>
        <v>1138.557589</v>
      </c>
      <c r="L227" s="3" t="str">
        <f>VLOOKUP('[1]New Data'!A227,'[1]New Data'!A:S,19,0)</f>
        <v>Clothing</v>
      </c>
      <c r="M227" s="3" t="str">
        <f>VLOOKUP('[1]New Data'!A227,'[1]New Data'!A:T,20,0)</f>
        <v>Jeans</v>
      </c>
      <c r="N227" s="5">
        <f>VLOOKUP('[1]New Data'!A360,'[1]New Data'!A:Z,25,0)</f>
        <v>2</v>
      </c>
    </row>
    <row r="228" spans="1:14" x14ac:dyDescent="0.35">
      <c r="A228" s="2">
        <v>1761766</v>
      </c>
      <c r="B228" s="2">
        <v>37351</v>
      </c>
      <c r="C228" s="2" t="s">
        <v>245</v>
      </c>
      <c r="D228" s="2" t="s">
        <v>15</v>
      </c>
      <c r="E228" s="3">
        <f>VLOOKUP('[1]New Data'!A155,'[1]New Data'!A:H,8,0)</f>
        <v>46</v>
      </c>
      <c r="F228" s="3" t="str">
        <f>VLOOKUP('[1]New Data'!A155,'[1]New Data'!A:J,10,0)</f>
        <v>Male</v>
      </c>
      <c r="G228" s="3" t="str">
        <f>VLOOKUP('[1]New Data'!A155,'[1]New Data'!A:K,11,0)</f>
        <v>Medium</v>
      </c>
      <c r="H228" s="4">
        <f>VLOOKUP('[1]New Data'!A155,'[1]New Data'!A:M,13,0)</f>
        <v>45152</v>
      </c>
      <c r="I228" s="5">
        <f>VLOOKUP('[1]New Data'!A155,'[1]New Data'!A:O,15,0)</f>
        <v>5</v>
      </c>
      <c r="J228" s="3">
        <f>VLOOKUP('[1]New Data'!A155,'[1]New Data'!A:P,16,0)</f>
        <v>225.77159829999999</v>
      </c>
      <c r="K228" s="3">
        <f>VLOOKUP('[1]New Data'!A155,'[1]New Data'!A:Q,17,0)</f>
        <v>1128.8579910000001</v>
      </c>
      <c r="L228" s="3" t="str">
        <f>VLOOKUP('[1]New Data'!A228,'[1]New Data'!A:S,19,0)</f>
        <v>Home Decor</v>
      </c>
      <c r="M228" s="3" t="str">
        <f>VLOOKUP('[1]New Data'!A228,'[1]New Data'!A:T,20,0)</f>
        <v>Furniture</v>
      </c>
      <c r="N228" s="5">
        <f>VLOOKUP('[1]New Data'!A155,'[1]New Data'!A:Z,25,0)</f>
        <v>1</v>
      </c>
    </row>
    <row r="229" spans="1:14" hidden="1" x14ac:dyDescent="0.35">
      <c r="A229" s="2">
        <v>6500202</v>
      </c>
      <c r="B229" s="2">
        <v>59565</v>
      </c>
      <c r="C229" s="2" t="s">
        <v>246</v>
      </c>
      <c r="D229" s="2" t="s">
        <v>15</v>
      </c>
      <c r="E229" s="3">
        <f>VLOOKUP('[1]New Data'!A165,'[1]New Data'!A:H,8,0)</f>
        <v>39</v>
      </c>
      <c r="F229" s="3" t="str">
        <f>VLOOKUP('[1]New Data'!A165,'[1]New Data'!A:J,10,0)</f>
        <v>Female</v>
      </c>
      <c r="G229" s="3" t="str">
        <f>VLOOKUP('[1]New Data'!A165,'[1]New Data'!A:K,11,0)</f>
        <v>Medium</v>
      </c>
      <c r="H229" s="4">
        <f>VLOOKUP('[1]New Data'!A165,'[1]New Data'!A:M,13,0)</f>
        <v>45339</v>
      </c>
      <c r="I229" s="5">
        <f>VLOOKUP('[1]New Data'!A165,'[1]New Data'!A:O,15,0)</f>
        <v>8</v>
      </c>
      <c r="J229" s="3">
        <f>VLOOKUP('[1]New Data'!A165,'[1]New Data'!A:P,16,0)</f>
        <v>140.59832800000001</v>
      </c>
      <c r="K229" s="3">
        <f>VLOOKUP('[1]New Data'!A165,'[1]New Data'!A:Q,17,0)</f>
        <v>1124.7866240000001</v>
      </c>
      <c r="L229" s="3" t="str">
        <f>VLOOKUP('[1]New Data'!A229,'[1]New Data'!A:S,19,0)</f>
        <v>Grocery</v>
      </c>
      <c r="M229" s="3" t="str">
        <f>VLOOKUP('[1]New Data'!A229,'[1]New Data'!A:T,20,0)</f>
        <v>Juice</v>
      </c>
      <c r="N229" s="5">
        <f>VLOOKUP('[1]New Data'!A165,'[1]New Data'!A:Z,25,0)</f>
        <v>5</v>
      </c>
    </row>
    <row r="230" spans="1:14" hidden="1" x14ac:dyDescent="0.35">
      <c r="A230" s="2">
        <v>7215648</v>
      </c>
      <c r="B230" s="2">
        <v>85908</v>
      </c>
      <c r="C230" s="2" t="s">
        <v>247</v>
      </c>
      <c r="D230" s="2" t="s">
        <v>15</v>
      </c>
      <c r="E230" s="3">
        <f>VLOOKUP('[1]New Data'!A445,'[1]New Data'!A:H,8,0)</f>
        <v>37</v>
      </c>
      <c r="F230" s="3" t="str">
        <f>VLOOKUP('[1]New Data'!A445,'[1]New Data'!A:J,10,0)</f>
        <v>Male</v>
      </c>
      <c r="G230" s="3" t="str">
        <f>VLOOKUP('[1]New Data'!A445,'[1]New Data'!A:K,11,0)</f>
        <v>High</v>
      </c>
      <c r="H230" s="4">
        <f>VLOOKUP('[1]New Data'!A445,'[1]New Data'!A:M,13,0)</f>
        <v>45005</v>
      </c>
      <c r="I230" s="5">
        <f>VLOOKUP('[1]New Data'!A445,'[1]New Data'!A:O,15,0)</f>
        <v>4</v>
      </c>
      <c r="J230" s="3">
        <f>VLOOKUP('[1]New Data'!A445,'[1]New Data'!A:P,16,0)</f>
        <v>279.49403439999998</v>
      </c>
      <c r="K230" s="3">
        <f>VLOOKUP('[1]New Data'!A445,'[1]New Data'!A:Q,17,0)</f>
        <v>1117.976138</v>
      </c>
      <c r="L230" s="3" t="str">
        <f>VLOOKUP('[1]New Data'!A230,'[1]New Data'!A:S,19,0)</f>
        <v>Clothing</v>
      </c>
      <c r="M230" s="3" t="str">
        <f>VLOOKUP('[1]New Data'!A230,'[1]New Data'!A:T,20,0)</f>
        <v>T-shirt</v>
      </c>
      <c r="N230" s="5">
        <f>VLOOKUP('[1]New Data'!A445,'[1]New Data'!A:Z,25,0)</f>
        <v>1</v>
      </c>
    </row>
    <row r="231" spans="1:14" hidden="1" x14ac:dyDescent="0.35">
      <c r="A231" s="2">
        <v>2766292</v>
      </c>
      <c r="B231" s="2">
        <v>15015</v>
      </c>
      <c r="C231" s="2" t="s">
        <v>248</v>
      </c>
      <c r="D231" s="2" t="s">
        <v>15</v>
      </c>
      <c r="E231" s="3">
        <f>VLOOKUP('[1]New Data'!A279,'[1]New Data'!A:H,8,0)</f>
        <v>60</v>
      </c>
      <c r="F231" s="3" t="str">
        <f>VLOOKUP('[1]New Data'!A279,'[1]New Data'!A:J,10,0)</f>
        <v>Male</v>
      </c>
      <c r="G231" s="3" t="str">
        <f>VLOOKUP('[1]New Data'!A279,'[1]New Data'!A:K,11,0)</f>
        <v>Low</v>
      </c>
      <c r="H231" s="4">
        <f>VLOOKUP('[1]New Data'!A279,'[1]New Data'!A:M,13,0)</f>
        <v>45024</v>
      </c>
      <c r="I231" s="5">
        <f>VLOOKUP('[1]New Data'!A279,'[1]New Data'!A:O,15,0)</f>
        <v>4</v>
      </c>
      <c r="J231" s="3">
        <f>VLOOKUP('[1]New Data'!A279,'[1]New Data'!A:P,16,0)</f>
        <v>279.34411590000002</v>
      </c>
      <c r="K231" s="3">
        <f>VLOOKUP('[1]New Data'!A279,'[1]New Data'!A:Q,17,0)</f>
        <v>1117.3764639999999</v>
      </c>
      <c r="L231" s="3" t="str">
        <f>VLOOKUP('[1]New Data'!A231,'[1]New Data'!A:S,19,0)</f>
        <v>Electronics</v>
      </c>
      <c r="M231" s="3" t="str">
        <f>VLOOKUP('[1]New Data'!A231,'[1]New Data'!A:T,20,0)</f>
        <v>Television</v>
      </c>
      <c r="N231" s="5">
        <f>VLOOKUP('[1]New Data'!A279,'[1]New Data'!A:Z,25,0)</f>
        <v>2</v>
      </c>
    </row>
    <row r="232" spans="1:14" hidden="1" x14ac:dyDescent="0.35">
      <c r="A232" s="2">
        <v>9480668</v>
      </c>
      <c r="B232" s="2">
        <v>52755</v>
      </c>
      <c r="C232" s="2" t="s">
        <v>249</v>
      </c>
      <c r="D232" s="2" t="s">
        <v>15</v>
      </c>
      <c r="E232" s="3">
        <f>VLOOKUP('[1]New Data'!A189,'[1]New Data'!A:H,8,0)</f>
        <v>20</v>
      </c>
      <c r="F232" s="3" t="str">
        <f>VLOOKUP('[1]New Data'!A189,'[1]New Data'!A:J,10,0)</f>
        <v>Male</v>
      </c>
      <c r="G232" s="3" t="str">
        <f>VLOOKUP('[1]New Data'!A189,'[1]New Data'!A:K,11,0)</f>
        <v>Low</v>
      </c>
      <c r="H232" s="4">
        <f>VLOOKUP('[1]New Data'!A189,'[1]New Data'!A:M,13,0)</f>
        <v>45289</v>
      </c>
      <c r="I232" s="5">
        <f>VLOOKUP('[1]New Data'!A189,'[1]New Data'!A:O,15,0)</f>
        <v>5</v>
      </c>
      <c r="J232" s="3">
        <f>VLOOKUP('[1]New Data'!A189,'[1]New Data'!A:P,16,0)</f>
        <v>222.40230700000001</v>
      </c>
      <c r="K232" s="3">
        <f>VLOOKUP('[1]New Data'!A189,'[1]New Data'!A:Q,17,0)</f>
        <v>1112.0115350000001</v>
      </c>
      <c r="L232" s="3" t="str">
        <f>VLOOKUP('[1]New Data'!A232,'[1]New Data'!A:S,19,0)</f>
        <v>Grocery</v>
      </c>
      <c r="M232" s="3" t="str">
        <f>VLOOKUP('[1]New Data'!A232,'[1]New Data'!A:T,20,0)</f>
        <v>Coffee</v>
      </c>
      <c r="N232" s="5">
        <f>VLOOKUP('[1]New Data'!A189,'[1]New Data'!A:Z,25,0)</f>
        <v>1</v>
      </c>
    </row>
    <row r="233" spans="1:14" hidden="1" x14ac:dyDescent="0.35">
      <c r="A233" s="2">
        <v>6965254</v>
      </c>
      <c r="B233" s="2">
        <v>88395</v>
      </c>
      <c r="C233" s="2" t="s">
        <v>250</v>
      </c>
      <c r="D233" s="2" t="s">
        <v>15</v>
      </c>
      <c r="E233" s="3">
        <f>VLOOKUP('[1]New Data'!A399,'[1]New Data'!A:H,8,0)</f>
        <v>55</v>
      </c>
      <c r="F233" s="3" t="str">
        <f>VLOOKUP('[1]New Data'!A399,'[1]New Data'!A:J,10,0)</f>
        <v>Male</v>
      </c>
      <c r="G233" s="3" t="str">
        <f>VLOOKUP('[1]New Data'!A399,'[1]New Data'!A:K,11,0)</f>
        <v>Medium</v>
      </c>
      <c r="H233" s="4">
        <f>VLOOKUP('[1]New Data'!A399,'[1]New Data'!A:M,13,0)</f>
        <v>45179</v>
      </c>
      <c r="I233" s="5">
        <f>VLOOKUP('[1]New Data'!A399,'[1]New Data'!A:O,15,0)</f>
        <v>4</v>
      </c>
      <c r="J233" s="3">
        <f>VLOOKUP('[1]New Data'!A399,'[1]New Data'!A:P,16,0)</f>
        <v>277.5296621</v>
      </c>
      <c r="K233" s="3">
        <f>VLOOKUP('[1]New Data'!A399,'[1]New Data'!A:Q,17,0)</f>
        <v>1110.118649</v>
      </c>
      <c r="L233" s="3" t="str">
        <f>VLOOKUP('[1]New Data'!A233,'[1]New Data'!A:S,19,0)</f>
        <v>Grocery</v>
      </c>
      <c r="M233" s="3" t="str">
        <f>VLOOKUP('[1]New Data'!A233,'[1]New Data'!A:T,20,0)</f>
        <v>Soft Drink</v>
      </c>
      <c r="N233" s="5">
        <f>VLOOKUP('[1]New Data'!A399,'[1]New Data'!A:Z,25,0)</f>
        <v>3</v>
      </c>
    </row>
    <row r="234" spans="1:14" hidden="1" x14ac:dyDescent="0.35">
      <c r="A234" s="2">
        <v>1804470</v>
      </c>
      <c r="B234" s="2">
        <v>65334</v>
      </c>
      <c r="C234" s="2" t="s">
        <v>251</v>
      </c>
      <c r="D234" s="2" t="s">
        <v>15</v>
      </c>
      <c r="E234" s="3">
        <f>VLOOKUP('[1]New Data'!A131,'[1]New Data'!A:H,8,0)</f>
        <v>32</v>
      </c>
      <c r="F234" s="3" t="str">
        <f>VLOOKUP('[1]New Data'!A131,'[1]New Data'!A:J,10,0)</f>
        <v>Female</v>
      </c>
      <c r="G234" s="3" t="str">
        <f>VLOOKUP('[1]New Data'!A131,'[1]New Data'!A:K,11,0)</f>
        <v>Medium</v>
      </c>
      <c r="H234" s="4">
        <f>VLOOKUP('[1]New Data'!A131,'[1]New Data'!A:M,13,0)</f>
        <v>45245</v>
      </c>
      <c r="I234" s="5">
        <f>VLOOKUP('[1]New Data'!A131,'[1]New Data'!A:O,15,0)</f>
        <v>3</v>
      </c>
      <c r="J234" s="3">
        <f>VLOOKUP('[1]New Data'!A131,'[1]New Data'!A:P,16,0)</f>
        <v>367.45447890000003</v>
      </c>
      <c r="K234" s="3">
        <f>VLOOKUP('[1]New Data'!A131,'[1]New Data'!A:Q,17,0)</f>
        <v>1102.363437</v>
      </c>
      <c r="L234" s="3" t="str">
        <f>VLOOKUP('[1]New Data'!A234,'[1]New Data'!A:S,19,0)</f>
        <v>Grocery</v>
      </c>
      <c r="M234" s="3" t="str">
        <f>VLOOKUP('[1]New Data'!A234,'[1]New Data'!A:T,20,0)</f>
        <v>Water</v>
      </c>
      <c r="N234" s="5">
        <f>VLOOKUP('[1]New Data'!A131,'[1]New Data'!A:Z,25,0)</f>
        <v>2</v>
      </c>
    </row>
    <row r="235" spans="1:14" hidden="1" x14ac:dyDescent="0.35">
      <c r="A235" s="2">
        <v>3577079</v>
      </c>
      <c r="B235" s="2">
        <v>25390</v>
      </c>
      <c r="C235" s="2" t="s">
        <v>252</v>
      </c>
      <c r="D235" s="2" t="s">
        <v>15</v>
      </c>
      <c r="E235" s="3">
        <f>VLOOKUP('[1]New Data'!A467,'[1]New Data'!A:H,8,0)</f>
        <v>22</v>
      </c>
      <c r="F235" s="3" t="str">
        <f>VLOOKUP('[1]New Data'!A467,'[1]New Data'!A:J,10,0)</f>
        <v>Male</v>
      </c>
      <c r="G235" s="3" t="str">
        <f>VLOOKUP('[1]New Data'!A467,'[1]New Data'!A:K,11,0)</f>
        <v>Low</v>
      </c>
      <c r="H235" s="4">
        <f>VLOOKUP('[1]New Data'!A467,'[1]New Data'!A:M,13,0)</f>
        <v>45327</v>
      </c>
      <c r="I235" s="5">
        <f>VLOOKUP('[1]New Data'!A467,'[1]New Data'!A:O,15,0)</f>
        <v>6</v>
      </c>
      <c r="J235" s="3">
        <f>VLOOKUP('[1]New Data'!A467,'[1]New Data'!A:P,16,0)</f>
        <v>183.45652010000001</v>
      </c>
      <c r="K235" s="3">
        <f>VLOOKUP('[1]New Data'!A467,'[1]New Data'!A:Q,17,0)</f>
        <v>1100.73912</v>
      </c>
      <c r="L235" s="3" t="str">
        <f>VLOOKUP('[1]New Data'!A235,'[1]New Data'!A:S,19,0)</f>
        <v>Grocery</v>
      </c>
      <c r="M235" s="3" t="str">
        <f>VLOOKUP('[1]New Data'!A235,'[1]New Data'!A:T,20,0)</f>
        <v>Water</v>
      </c>
      <c r="N235" s="5">
        <f>VLOOKUP('[1]New Data'!A467,'[1]New Data'!A:Z,25,0)</f>
        <v>5</v>
      </c>
    </row>
    <row r="236" spans="1:14" hidden="1" x14ac:dyDescent="0.35">
      <c r="A236" s="2">
        <v>9947033</v>
      </c>
      <c r="B236" s="2">
        <v>80529</v>
      </c>
      <c r="C236" s="2" t="s">
        <v>253</v>
      </c>
      <c r="D236" s="2" t="s">
        <v>15</v>
      </c>
      <c r="E236" s="3">
        <f>VLOOKUP('[1]New Data'!A226,'[1]New Data'!A:H,8,0)</f>
        <v>38</v>
      </c>
      <c r="F236" s="3" t="str">
        <f>VLOOKUP('[1]New Data'!A226,'[1]New Data'!A:J,10,0)</f>
        <v>Female</v>
      </c>
      <c r="G236" s="3" t="str">
        <f>VLOOKUP('[1]New Data'!A226,'[1]New Data'!A:K,11,0)</f>
        <v>Medium</v>
      </c>
      <c r="H236" s="4">
        <f>VLOOKUP('[1]New Data'!A226,'[1]New Data'!A:M,13,0)</f>
        <v>45050</v>
      </c>
      <c r="I236" s="5">
        <f>VLOOKUP('[1]New Data'!A226,'[1]New Data'!A:O,15,0)</f>
        <v>9</v>
      </c>
      <c r="J236" s="3">
        <f>VLOOKUP('[1]New Data'!A226,'[1]New Data'!A:P,16,0)</f>
        <v>121.9781801</v>
      </c>
      <c r="K236" s="3">
        <f>VLOOKUP('[1]New Data'!A226,'[1]New Data'!A:Q,17,0)</f>
        <v>1097.803621</v>
      </c>
      <c r="L236" s="3" t="str">
        <f>VLOOKUP('[1]New Data'!A236,'[1]New Data'!A:S,19,0)</f>
        <v>Electronics</v>
      </c>
      <c r="M236" s="3" t="str">
        <f>VLOOKUP('[1]New Data'!A236,'[1]New Data'!A:T,20,0)</f>
        <v>Headphones</v>
      </c>
      <c r="N236" s="5">
        <f>VLOOKUP('[1]New Data'!A226,'[1]New Data'!A:Z,25,0)</f>
        <v>4</v>
      </c>
    </row>
    <row r="237" spans="1:14" hidden="1" x14ac:dyDescent="0.35">
      <c r="A237" s="2">
        <v>3271164</v>
      </c>
      <c r="B237" s="2">
        <v>73524</v>
      </c>
      <c r="C237" s="2" t="s">
        <v>254</v>
      </c>
      <c r="D237" s="2" t="s">
        <v>15</v>
      </c>
      <c r="E237" s="3">
        <f>VLOOKUP('[1]New Data'!A198,'[1]New Data'!A:H,8,0)</f>
        <v>51</v>
      </c>
      <c r="F237" s="3" t="str">
        <f>VLOOKUP('[1]New Data'!A198,'[1]New Data'!A:J,10,0)</f>
        <v>Male</v>
      </c>
      <c r="G237" s="3" t="str">
        <f>VLOOKUP('[1]New Data'!A198,'[1]New Data'!A:K,11,0)</f>
        <v>Low</v>
      </c>
      <c r="H237" s="4">
        <f>VLOOKUP('[1]New Data'!A198,'[1]New Data'!A:M,13,0)</f>
        <v>45142</v>
      </c>
      <c r="I237" s="5">
        <f>VLOOKUP('[1]New Data'!A198,'[1]New Data'!A:O,15,0)</f>
        <v>4</v>
      </c>
      <c r="J237" s="3">
        <f>VLOOKUP('[1]New Data'!A198,'[1]New Data'!A:P,16,0)</f>
        <v>273.23596930000002</v>
      </c>
      <c r="K237" s="3">
        <f>VLOOKUP('[1]New Data'!A198,'[1]New Data'!A:Q,17,0)</f>
        <v>1092.9438769999999</v>
      </c>
      <c r="L237" s="3" t="str">
        <f>VLOOKUP('[1]New Data'!A237,'[1]New Data'!A:S,19,0)</f>
        <v>Clothing</v>
      </c>
      <c r="M237" s="3" t="str">
        <f>VLOOKUP('[1]New Data'!A237,'[1]New Data'!A:T,20,0)</f>
        <v>Shorts</v>
      </c>
      <c r="N237" s="5">
        <f>VLOOKUP('[1]New Data'!A198,'[1]New Data'!A:Z,25,0)</f>
        <v>3</v>
      </c>
    </row>
    <row r="238" spans="1:14" hidden="1" x14ac:dyDescent="0.35">
      <c r="A238" s="2">
        <v>8257808</v>
      </c>
      <c r="B238" s="2">
        <v>99944</v>
      </c>
      <c r="C238" s="2" t="s">
        <v>255</v>
      </c>
      <c r="D238" s="2" t="s">
        <v>15</v>
      </c>
      <c r="E238" s="3">
        <f>VLOOKUP('[1]New Data'!A311,'[1]New Data'!A:H,8,0)</f>
        <v>20</v>
      </c>
      <c r="F238" s="3" t="str">
        <f>VLOOKUP('[1]New Data'!A311,'[1]New Data'!A:J,10,0)</f>
        <v>Female</v>
      </c>
      <c r="G238" s="3" t="str">
        <f>VLOOKUP('[1]New Data'!A311,'[1]New Data'!A:K,11,0)</f>
        <v>Low</v>
      </c>
      <c r="H238" s="4">
        <f>VLOOKUP('[1]New Data'!A311,'[1]New Data'!A:M,13,0)</f>
        <v>45263</v>
      </c>
      <c r="I238" s="5">
        <f>VLOOKUP('[1]New Data'!A311,'[1]New Data'!A:O,15,0)</f>
        <v>3</v>
      </c>
      <c r="J238" s="3">
        <f>VLOOKUP('[1]New Data'!A311,'[1]New Data'!A:P,16,0)</f>
        <v>363.79397299999999</v>
      </c>
      <c r="K238" s="3">
        <f>VLOOKUP('[1]New Data'!A311,'[1]New Data'!A:Q,17,0)</f>
        <v>1091.3819189999999</v>
      </c>
      <c r="L238" s="3" t="str">
        <f>VLOOKUP('[1]New Data'!A238,'[1]New Data'!A:S,19,0)</f>
        <v>Grocery</v>
      </c>
      <c r="M238" s="3" t="str">
        <f>VLOOKUP('[1]New Data'!A238,'[1]New Data'!A:T,20,0)</f>
        <v>Water</v>
      </c>
      <c r="N238" s="5">
        <f>VLOOKUP('[1]New Data'!A311,'[1]New Data'!A:Z,25,0)</f>
        <v>1</v>
      </c>
    </row>
    <row r="239" spans="1:14" x14ac:dyDescent="0.35">
      <c r="A239" s="2">
        <v>7662744</v>
      </c>
      <c r="B239" s="2">
        <v>27115</v>
      </c>
      <c r="C239" s="2" t="s">
        <v>256</v>
      </c>
      <c r="D239" s="2" t="s">
        <v>15</v>
      </c>
      <c r="E239" s="3">
        <f>VLOOKUP('[1]New Data'!A326,'[1]New Data'!A:H,8,0)</f>
        <v>62</v>
      </c>
      <c r="F239" s="3" t="str">
        <f>VLOOKUP('[1]New Data'!A326,'[1]New Data'!A:J,10,0)</f>
        <v>Male</v>
      </c>
      <c r="G239" s="3" t="str">
        <f>VLOOKUP('[1]New Data'!A326,'[1]New Data'!A:K,11,0)</f>
        <v>Medium</v>
      </c>
      <c r="H239" s="4">
        <f>VLOOKUP('[1]New Data'!A326,'[1]New Data'!A:M,13,0)</f>
        <v>45135</v>
      </c>
      <c r="I239" s="5">
        <f>VLOOKUP('[1]New Data'!A326,'[1]New Data'!A:O,15,0)</f>
        <v>5</v>
      </c>
      <c r="J239" s="3">
        <f>VLOOKUP('[1]New Data'!A326,'[1]New Data'!A:P,16,0)</f>
        <v>217.30693149999999</v>
      </c>
      <c r="K239" s="3">
        <f>VLOOKUP('[1]New Data'!A326,'[1]New Data'!A:Q,17,0)</f>
        <v>1086.534658</v>
      </c>
      <c r="L239" s="3" t="str">
        <f>VLOOKUP('[1]New Data'!A239,'[1]New Data'!A:S,19,0)</f>
        <v>Home Decor</v>
      </c>
      <c r="M239" s="3" t="str">
        <f>VLOOKUP('[1]New Data'!A239,'[1]New Data'!A:T,20,0)</f>
        <v>Furniture</v>
      </c>
      <c r="N239" s="5">
        <f>VLOOKUP('[1]New Data'!A326,'[1]New Data'!A:Z,25,0)</f>
        <v>4</v>
      </c>
    </row>
    <row r="240" spans="1:14" x14ac:dyDescent="0.35">
      <c r="A240" s="2">
        <v>2022125</v>
      </c>
      <c r="B240" s="2">
        <v>32937</v>
      </c>
      <c r="C240" s="2" t="s">
        <v>257</v>
      </c>
      <c r="D240" s="2" t="s">
        <v>15</v>
      </c>
      <c r="E240" s="3">
        <f>VLOOKUP('[1]New Data'!A212,'[1]New Data'!A:H,8,0)</f>
        <v>37</v>
      </c>
      <c r="F240" s="3" t="str">
        <f>VLOOKUP('[1]New Data'!A212,'[1]New Data'!A:J,10,0)</f>
        <v>Male</v>
      </c>
      <c r="G240" s="3" t="str">
        <f>VLOOKUP('[1]New Data'!A212,'[1]New Data'!A:K,11,0)</f>
        <v>Medium</v>
      </c>
      <c r="H240" s="4">
        <f>VLOOKUP('[1]New Data'!A212,'[1]New Data'!A:M,13,0)</f>
        <v>45004</v>
      </c>
      <c r="I240" s="5">
        <f>VLOOKUP('[1]New Data'!A212,'[1]New Data'!A:O,15,0)</f>
        <v>5</v>
      </c>
      <c r="J240" s="3">
        <f>VLOOKUP('[1]New Data'!A212,'[1]New Data'!A:P,16,0)</f>
        <v>213.59671729999999</v>
      </c>
      <c r="K240" s="3">
        <f>VLOOKUP('[1]New Data'!A212,'[1]New Data'!A:Q,17,0)</f>
        <v>1067.9835869999999</v>
      </c>
      <c r="L240" s="3" t="str">
        <f>VLOOKUP('[1]New Data'!A240,'[1]New Data'!A:S,19,0)</f>
        <v>Home Decor</v>
      </c>
      <c r="M240" s="3" t="str">
        <f>VLOOKUP('[1]New Data'!A240,'[1]New Data'!A:T,20,0)</f>
        <v>Tools</v>
      </c>
      <c r="N240" s="5">
        <f>VLOOKUP('[1]New Data'!A212,'[1]New Data'!A:Z,25,0)</f>
        <v>4</v>
      </c>
    </row>
    <row r="241" spans="1:14" hidden="1" x14ac:dyDescent="0.35">
      <c r="A241" s="2">
        <v>6679610</v>
      </c>
      <c r="B241" s="2">
        <v>30192</v>
      </c>
      <c r="C241" s="2" t="s">
        <v>258</v>
      </c>
      <c r="D241" s="2" t="s">
        <v>259</v>
      </c>
      <c r="E241" s="3">
        <f>VLOOKUP('[1]New Data'!A4,'[1]New Data'!A:H,8,0)</f>
        <v>48</v>
      </c>
      <c r="F241" s="3" t="str">
        <f>VLOOKUP('[1]New Data'!A4,'[1]New Data'!A:J,10,0)</f>
        <v>Male</v>
      </c>
      <c r="G241" s="3" t="str">
        <f>VLOOKUP('[1]New Data'!A4,'[1]New Data'!A:K,11,0)</f>
        <v>Low</v>
      </c>
      <c r="H241" s="4">
        <f>VLOOKUP('[1]New Data'!A4,'[1]New Data'!A:M,13,0)</f>
        <v>45042</v>
      </c>
      <c r="I241" s="5">
        <f>VLOOKUP('[1]New Data'!A4,'[1]New Data'!A:O,15,0)</f>
        <v>3</v>
      </c>
      <c r="J241" s="3">
        <f>VLOOKUP('[1]New Data'!A4,'[1]New Data'!A:P,16,0)</f>
        <v>354.47759969999998</v>
      </c>
      <c r="K241" s="3">
        <f>VLOOKUP('[1]New Data'!A4,'[1]New Data'!A:Q,17,0)</f>
        <v>1063.4327989999999</v>
      </c>
      <c r="L241" s="3" t="str">
        <f>VLOOKUP('[1]New Data'!A241,'[1]New Data'!A:S,19,0)</f>
        <v>Clothing</v>
      </c>
      <c r="M241" s="3" t="str">
        <f>VLOOKUP('[1]New Data'!A241,'[1]New Data'!A:T,20,0)</f>
        <v>Jacket</v>
      </c>
      <c r="N241" s="5">
        <f>VLOOKUP('[1]New Data'!A4,'[1]New Data'!A:Z,25,0)</f>
        <v>2</v>
      </c>
    </row>
    <row r="242" spans="1:14" hidden="1" x14ac:dyDescent="0.35">
      <c r="A242" s="2">
        <v>8919258</v>
      </c>
      <c r="B242" s="2">
        <v>35222</v>
      </c>
      <c r="C242" s="2" t="s">
        <v>260</v>
      </c>
      <c r="D242" s="2" t="s">
        <v>15</v>
      </c>
      <c r="E242" s="3">
        <f>VLOOKUP('[1]New Data'!A238,'[1]New Data'!A:H,8,0)</f>
        <v>61</v>
      </c>
      <c r="F242" s="3" t="str">
        <f>VLOOKUP('[1]New Data'!A238,'[1]New Data'!A:J,10,0)</f>
        <v>Female</v>
      </c>
      <c r="G242" s="3" t="str">
        <f>VLOOKUP('[1]New Data'!A238,'[1]New Data'!A:K,11,0)</f>
        <v>Medium</v>
      </c>
      <c r="H242" s="4">
        <f>VLOOKUP('[1]New Data'!A238,'[1]New Data'!A:M,13,0)</f>
        <v>45118</v>
      </c>
      <c r="I242" s="5">
        <f>VLOOKUP('[1]New Data'!A238,'[1]New Data'!A:O,15,0)</f>
        <v>3</v>
      </c>
      <c r="J242" s="3">
        <f>VLOOKUP('[1]New Data'!A238,'[1]New Data'!A:P,16,0)</f>
        <v>353.81714460000001</v>
      </c>
      <c r="K242" s="3">
        <f>VLOOKUP('[1]New Data'!A238,'[1]New Data'!A:Q,17,0)</f>
        <v>1061.4514340000001</v>
      </c>
      <c r="L242" s="3" t="str">
        <f>VLOOKUP('[1]New Data'!A242,'[1]New Data'!A:S,19,0)</f>
        <v>Books</v>
      </c>
      <c r="M242" s="3" t="str">
        <f>VLOOKUP('[1]New Data'!A242,'[1]New Data'!A:T,20,0)</f>
        <v>Fiction</v>
      </c>
      <c r="N242" s="5">
        <f>VLOOKUP('[1]New Data'!A238,'[1]New Data'!A:Z,25,0)</f>
        <v>3</v>
      </c>
    </row>
    <row r="243" spans="1:14" hidden="1" x14ac:dyDescent="0.35">
      <c r="A243" s="2">
        <v>6571685</v>
      </c>
      <c r="B243" s="2">
        <v>72707</v>
      </c>
      <c r="C243" s="2" t="s">
        <v>261</v>
      </c>
      <c r="D243" s="2" t="s">
        <v>15</v>
      </c>
      <c r="E243" s="3">
        <f>VLOOKUP('[1]New Data'!A441,'[1]New Data'!A:H,8,0)</f>
        <v>37</v>
      </c>
      <c r="F243" s="3" t="str">
        <f>VLOOKUP('[1]New Data'!A441,'[1]New Data'!A:J,10,0)</f>
        <v>Female</v>
      </c>
      <c r="G243" s="3" t="str">
        <f>VLOOKUP('[1]New Data'!A441,'[1]New Data'!A:K,11,0)</f>
        <v>Low</v>
      </c>
      <c r="H243" s="4">
        <f>VLOOKUP('[1]New Data'!A441,'[1]New Data'!A:M,13,0)</f>
        <v>45196</v>
      </c>
      <c r="I243" s="5">
        <f>VLOOKUP('[1]New Data'!A441,'[1]New Data'!A:O,15,0)</f>
        <v>4</v>
      </c>
      <c r="J243" s="3">
        <f>VLOOKUP('[1]New Data'!A441,'[1]New Data'!A:P,16,0)</f>
        <v>264.23710440000002</v>
      </c>
      <c r="K243" s="3">
        <f>VLOOKUP('[1]New Data'!A441,'[1]New Data'!A:Q,17,0)</f>
        <v>1056.9484179999999</v>
      </c>
      <c r="L243" s="3" t="str">
        <f>VLOOKUP('[1]New Data'!A243,'[1]New Data'!A:S,19,0)</f>
        <v>Books</v>
      </c>
      <c r="M243" s="3" t="str">
        <f>VLOOKUP('[1]New Data'!A243,'[1]New Data'!A:T,20,0)</f>
        <v>Literature</v>
      </c>
      <c r="N243" s="5">
        <f>VLOOKUP('[1]New Data'!A441,'[1]New Data'!A:Z,25,0)</f>
        <v>1</v>
      </c>
    </row>
    <row r="244" spans="1:14" x14ac:dyDescent="0.35">
      <c r="A244" s="2">
        <v>5396105</v>
      </c>
      <c r="B244" s="2">
        <v>73862</v>
      </c>
      <c r="C244" s="2" t="s">
        <v>262</v>
      </c>
      <c r="D244" s="2" t="s">
        <v>15</v>
      </c>
      <c r="E244" s="3">
        <f>VLOOKUP('[1]New Data'!A327,'[1]New Data'!A:H,8,0)</f>
        <v>47</v>
      </c>
      <c r="F244" s="3" t="str">
        <f>VLOOKUP('[1]New Data'!A327,'[1]New Data'!A:J,10,0)</f>
        <v>Male</v>
      </c>
      <c r="G244" s="3" t="str">
        <f>VLOOKUP('[1]New Data'!A327,'[1]New Data'!A:K,11,0)</f>
        <v>Low</v>
      </c>
      <c r="H244" s="4">
        <f>VLOOKUP('[1]New Data'!A327,'[1]New Data'!A:M,13,0)</f>
        <v>45163</v>
      </c>
      <c r="I244" s="5">
        <f>VLOOKUP('[1]New Data'!A327,'[1]New Data'!A:O,15,0)</f>
        <v>6</v>
      </c>
      <c r="J244" s="3">
        <f>VLOOKUP('[1]New Data'!A327,'[1]New Data'!A:P,16,0)</f>
        <v>172.5107515</v>
      </c>
      <c r="K244" s="3">
        <f>VLOOKUP('[1]New Data'!A327,'[1]New Data'!A:Q,17,0)</f>
        <v>1035.064509</v>
      </c>
      <c r="L244" s="3" t="str">
        <f>VLOOKUP('[1]New Data'!A244,'[1]New Data'!A:S,19,0)</f>
        <v>Home Decor</v>
      </c>
      <c r="M244" s="3" t="str">
        <f>VLOOKUP('[1]New Data'!A244,'[1]New Data'!A:T,20,0)</f>
        <v>Kitchen</v>
      </c>
      <c r="N244" s="5">
        <f>VLOOKUP('[1]New Data'!A327,'[1]New Data'!A:Z,25,0)</f>
        <v>2</v>
      </c>
    </row>
    <row r="245" spans="1:14" hidden="1" x14ac:dyDescent="0.35">
      <c r="A245" s="2">
        <v>9736484</v>
      </c>
      <c r="B245" s="2">
        <v>32669</v>
      </c>
      <c r="C245" s="2" t="s">
        <v>263</v>
      </c>
      <c r="D245" s="2" t="s">
        <v>15</v>
      </c>
      <c r="E245" s="3">
        <f>VLOOKUP('[1]New Data'!A487,'[1]New Data'!A:H,8,0)</f>
        <v>64</v>
      </c>
      <c r="F245" s="3" t="str">
        <f>VLOOKUP('[1]New Data'!A487,'[1]New Data'!A:J,10,0)</f>
        <v>Male</v>
      </c>
      <c r="G245" s="3" t="str">
        <f>VLOOKUP('[1]New Data'!A487,'[1]New Data'!A:K,11,0)</f>
        <v>Low</v>
      </c>
      <c r="H245" s="4">
        <f>VLOOKUP('[1]New Data'!A487,'[1]New Data'!A:M,13,0)</f>
        <v>45178</v>
      </c>
      <c r="I245" s="5">
        <f>VLOOKUP('[1]New Data'!A487,'[1]New Data'!A:O,15,0)</f>
        <v>7</v>
      </c>
      <c r="J245" s="3">
        <f>VLOOKUP('[1]New Data'!A487,'[1]New Data'!A:P,16,0)</f>
        <v>147.4081401</v>
      </c>
      <c r="K245" s="3">
        <f>VLOOKUP('[1]New Data'!A487,'[1]New Data'!A:Q,17,0)</f>
        <v>1031.8569809999999</v>
      </c>
      <c r="L245" s="3" t="str">
        <f>VLOOKUP('[1]New Data'!A245,'[1]New Data'!A:S,19,0)</f>
        <v>Electronics</v>
      </c>
      <c r="M245" s="3" t="str">
        <f>VLOOKUP('[1]New Data'!A245,'[1]New Data'!A:T,20,0)</f>
        <v>Television</v>
      </c>
      <c r="N245" s="5">
        <f>VLOOKUP('[1]New Data'!A487,'[1]New Data'!A:Z,25,0)</f>
        <v>1</v>
      </c>
    </row>
    <row r="246" spans="1:14" hidden="1" x14ac:dyDescent="0.35">
      <c r="A246" s="2">
        <v>7029596</v>
      </c>
      <c r="B246" s="2">
        <v>21798</v>
      </c>
      <c r="C246" s="2" t="s">
        <v>264</v>
      </c>
      <c r="D246" s="2" t="s">
        <v>15</v>
      </c>
      <c r="E246" s="3">
        <f>VLOOKUP('[1]New Data'!A293,'[1]New Data'!A:H,8,0)</f>
        <v>53</v>
      </c>
      <c r="F246" s="3" t="str">
        <f>VLOOKUP('[1]New Data'!A293,'[1]New Data'!A:J,10,0)</f>
        <v>Female</v>
      </c>
      <c r="G246" s="3" t="str">
        <f>VLOOKUP('[1]New Data'!A293,'[1]New Data'!A:K,11,0)</f>
        <v>Medium</v>
      </c>
      <c r="H246" s="4">
        <f>VLOOKUP('[1]New Data'!A293,'[1]New Data'!A:M,13,0)</f>
        <v>45165</v>
      </c>
      <c r="I246" s="5">
        <f>VLOOKUP('[1]New Data'!A293,'[1]New Data'!A:O,15,0)</f>
        <v>5</v>
      </c>
      <c r="J246" s="3">
        <f>VLOOKUP('[1]New Data'!A293,'[1]New Data'!A:P,16,0)</f>
        <v>206.0890612</v>
      </c>
      <c r="K246" s="3">
        <f>VLOOKUP('[1]New Data'!A293,'[1]New Data'!A:Q,17,0)</f>
        <v>1030.4453060000001</v>
      </c>
      <c r="L246" s="3" t="str">
        <f>VLOOKUP('[1]New Data'!A246,'[1]New Data'!A:S,19,0)</f>
        <v>Books</v>
      </c>
      <c r="M246" s="3" t="str">
        <f>VLOOKUP('[1]New Data'!A246,'[1]New Data'!A:T,20,0)</f>
        <v>Non-Fiction</v>
      </c>
      <c r="N246" s="5">
        <f>VLOOKUP('[1]New Data'!A293,'[1]New Data'!A:Z,25,0)</f>
        <v>1</v>
      </c>
    </row>
    <row r="247" spans="1:14" hidden="1" x14ac:dyDescent="0.35">
      <c r="A247" s="2">
        <v>8523222</v>
      </c>
      <c r="B247" s="2">
        <v>81200</v>
      </c>
      <c r="C247" s="2" t="s">
        <v>265</v>
      </c>
      <c r="D247" s="2" t="s">
        <v>15</v>
      </c>
      <c r="E247" s="3">
        <f>VLOOKUP('[1]New Data'!A57,'[1]New Data'!A:H,8,0)</f>
        <v>24</v>
      </c>
      <c r="F247" s="3" t="str">
        <f>VLOOKUP('[1]New Data'!A57,'[1]New Data'!A:J,10,0)</f>
        <v>Male</v>
      </c>
      <c r="G247" s="3" t="str">
        <f>VLOOKUP('[1]New Data'!A57,'[1]New Data'!A:K,11,0)</f>
        <v>Medium</v>
      </c>
      <c r="H247" s="4">
        <f>VLOOKUP('[1]New Data'!A57,'[1]New Data'!A:M,13,0)</f>
        <v>45104</v>
      </c>
      <c r="I247" s="5">
        <f>VLOOKUP('[1]New Data'!A57,'[1]New Data'!A:O,15,0)</f>
        <v>4</v>
      </c>
      <c r="J247" s="3">
        <f>VLOOKUP('[1]New Data'!A57,'[1]New Data'!A:P,16,0)</f>
        <v>257.58697239999998</v>
      </c>
      <c r="K247" s="3">
        <f>VLOOKUP('[1]New Data'!A57,'[1]New Data'!A:Q,17,0)</f>
        <v>1030.34789</v>
      </c>
      <c r="L247" s="3" t="str">
        <f>VLOOKUP('[1]New Data'!A247,'[1]New Data'!A:S,19,0)</f>
        <v>Grocery</v>
      </c>
      <c r="M247" s="3" t="str">
        <f>VLOOKUP('[1]New Data'!A247,'[1]New Data'!A:T,20,0)</f>
        <v>Chocolate</v>
      </c>
      <c r="N247" s="5">
        <f>VLOOKUP('[1]New Data'!A57,'[1]New Data'!A:Z,25,0)</f>
        <v>4</v>
      </c>
    </row>
    <row r="248" spans="1:14" hidden="1" x14ac:dyDescent="0.35">
      <c r="A248" s="2">
        <v>4052364</v>
      </c>
      <c r="B248" s="2">
        <v>29811</v>
      </c>
      <c r="C248" s="2" t="s">
        <v>266</v>
      </c>
      <c r="D248" s="2" t="s">
        <v>15</v>
      </c>
      <c r="E248" s="3">
        <f>VLOOKUP('[1]New Data'!A323,'[1]New Data'!A:H,8,0)</f>
        <v>64</v>
      </c>
      <c r="F248" s="3" t="str">
        <f>VLOOKUP('[1]New Data'!A323,'[1]New Data'!A:J,10,0)</f>
        <v>Female</v>
      </c>
      <c r="G248" s="3" t="str">
        <f>VLOOKUP('[1]New Data'!A323,'[1]New Data'!A:K,11,0)</f>
        <v>Low</v>
      </c>
      <c r="H248" s="4">
        <f>VLOOKUP('[1]New Data'!A323,'[1]New Data'!A:M,13,0)</f>
        <v>45103</v>
      </c>
      <c r="I248" s="5">
        <f>VLOOKUP('[1]New Data'!A323,'[1]New Data'!A:O,15,0)</f>
        <v>10</v>
      </c>
      <c r="J248" s="3">
        <f>VLOOKUP('[1]New Data'!A323,'[1]New Data'!A:P,16,0)</f>
        <v>102.40322810000001</v>
      </c>
      <c r="K248" s="3">
        <f>VLOOKUP('[1]New Data'!A323,'[1]New Data'!A:Q,17,0)</f>
        <v>1024.032281</v>
      </c>
      <c r="L248" s="3" t="str">
        <f>VLOOKUP('[1]New Data'!A248,'[1]New Data'!A:S,19,0)</f>
        <v>Books</v>
      </c>
      <c r="M248" s="3" t="str">
        <f>VLOOKUP('[1]New Data'!A248,'[1]New Data'!A:T,20,0)</f>
        <v>Fiction</v>
      </c>
      <c r="N248" s="5">
        <f>VLOOKUP('[1]New Data'!A323,'[1]New Data'!A:Z,25,0)</f>
        <v>4</v>
      </c>
    </row>
    <row r="249" spans="1:14" hidden="1" x14ac:dyDescent="0.35">
      <c r="A249" s="2">
        <v>1886519</v>
      </c>
      <c r="B249" s="2">
        <v>36836</v>
      </c>
      <c r="C249" s="2" t="s">
        <v>267</v>
      </c>
      <c r="D249" s="2" t="s">
        <v>15</v>
      </c>
      <c r="E249" s="3">
        <f>VLOOKUP('[1]New Data'!A492,'[1]New Data'!A:H,8,0)</f>
        <v>31</v>
      </c>
      <c r="F249" s="3" t="str">
        <f>VLOOKUP('[1]New Data'!A492,'[1]New Data'!A:J,10,0)</f>
        <v>Female</v>
      </c>
      <c r="G249" s="3" t="str">
        <f>VLOOKUP('[1]New Data'!A492,'[1]New Data'!A:K,11,0)</f>
        <v>High</v>
      </c>
      <c r="H249" s="4">
        <f>VLOOKUP('[1]New Data'!A492,'[1]New Data'!A:M,13,0)</f>
        <v>45070</v>
      </c>
      <c r="I249" s="5">
        <f>VLOOKUP('[1]New Data'!A492,'[1]New Data'!A:O,15,0)</f>
        <v>3</v>
      </c>
      <c r="J249" s="3">
        <f>VLOOKUP('[1]New Data'!A492,'[1]New Data'!A:P,16,0)</f>
        <v>340.74184279999997</v>
      </c>
      <c r="K249" s="3">
        <f>VLOOKUP('[1]New Data'!A492,'[1]New Data'!A:Q,17,0)</f>
        <v>1022.2255280000001</v>
      </c>
      <c r="L249" s="3" t="str">
        <f>VLOOKUP('[1]New Data'!A249,'[1]New Data'!A:S,19,0)</f>
        <v>Clothing</v>
      </c>
      <c r="M249" s="3" t="str">
        <f>VLOOKUP('[1]New Data'!A249,'[1]New Data'!A:T,20,0)</f>
        <v>Jacket</v>
      </c>
      <c r="N249" s="5">
        <f>VLOOKUP('[1]New Data'!A492,'[1]New Data'!A:Z,25,0)</f>
        <v>4</v>
      </c>
    </row>
    <row r="250" spans="1:14" hidden="1" x14ac:dyDescent="0.35">
      <c r="A250" s="2">
        <v>5281561</v>
      </c>
      <c r="B250" s="2">
        <v>65159</v>
      </c>
      <c r="C250" s="2" t="s">
        <v>268</v>
      </c>
      <c r="D250" s="2" t="s">
        <v>15</v>
      </c>
      <c r="E250" s="3">
        <f>VLOOKUP('[1]New Data'!A261,'[1]New Data'!A:H,8,0)</f>
        <v>35</v>
      </c>
      <c r="F250" s="3" t="str">
        <f>VLOOKUP('[1]New Data'!A261,'[1]New Data'!A:J,10,0)</f>
        <v>Female</v>
      </c>
      <c r="G250" s="3" t="str">
        <f>VLOOKUP('[1]New Data'!A261,'[1]New Data'!A:K,11,0)</f>
        <v>Medium</v>
      </c>
      <c r="H250" s="4">
        <f>VLOOKUP('[1]New Data'!A261,'[1]New Data'!A:M,13,0)</f>
        <v>45086</v>
      </c>
      <c r="I250" s="5">
        <f>VLOOKUP('[1]New Data'!A261,'[1]New Data'!A:O,15,0)</f>
        <v>10</v>
      </c>
      <c r="J250" s="3">
        <f>VLOOKUP('[1]New Data'!A261,'[1]New Data'!A:P,16,0)</f>
        <v>101.535408</v>
      </c>
      <c r="K250" s="3">
        <f>VLOOKUP('[1]New Data'!A261,'[1]New Data'!A:Q,17,0)</f>
        <v>1015.35408</v>
      </c>
      <c r="L250" s="3" t="str">
        <f>VLOOKUP('[1]New Data'!A250,'[1]New Data'!A:S,19,0)</f>
        <v>Clothing</v>
      </c>
      <c r="M250" s="3" t="str">
        <f>VLOOKUP('[1]New Data'!A250,'[1]New Data'!A:T,20,0)</f>
        <v>T-shirt</v>
      </c>
      <c r="N250" s="5">
        <f>VLOOKUP('[1]New Data'!A261,'[1]New Data'!A:Z,25,0)</f>
        <v>3</v>
      </c>
    </row>
    <row r="251" spans="1:14" hidden="1" x14ac:dyDescent="0.35">
      <c r="A251" s="2">
        <v>5020401</v>
      </c>
      <c r="B251" s="2">
        <v>35547</v>
      </c>
      <c r="C251" s="2" t="s">
        <v>269</v>
      </c>
      <c r="D251" s="2" t="s">
        <v>15</v>
      </c>
      <c r="E251" s="3">
        <f>VLOOKUP('[1]New Data'!A317,'[1]New Data'!A:H,8,0)</f>
        <v>59</v>
      </c>
      <c r="F251" s="3" t="str">
        <f>VLOOKUP('[1]New Data'!A317,'[1]New Data'!A:J,10,0)</f>
        <v>Male</v>
      </c>
      <c r="G251" s="3" t="str">
        <f>VLOOKUP('[1]New Data'!A317,'[1]New Data'!A:K,11,0)</f>
        <v>Low</v>
      </c>
      <c r="H251" s="4">
        <f>VLOOKUP('[1]New Data'!A317,'[1]New Data'!A:M,13,0)</f>
        <v>45230</v>
      </c>
      <c r="I251" s="5">
        <f>VLOOKUP('[1]New Data'!A317,'[1]New Data'!A:O,15,0)</f>
        <v>5</v>
      </c>
      <c r="J251" s="3">
        <f>VLOOKUP('[1]New Data'!A317,'[1]New Data'!A:P,16,0)</f>
        <v>202.71539559999999</v>
      </c>
      <c r="K251" s="3">
        <f>VLOOKUP('[1]New Data'!A317,'[1]New Data'!A:Q,17,0)</f>
        <v>1013.5769780000001</v>
      </c>
      <c r="L251" s="3" t="str">
        <f>VLOOKUP('[1]New Data'!A251,'[1]New Data'!A:S,19,0)</f>
        <v>Electronics</v>
      </c>
      <c r="M251" s="3" t="str">
        <f>VLOOKUP('[1]New Data'!A251,'[1]New Data'!A:T,20,0)</f>
        <v>Television</v>
      </c>
      <c r="N251" s="5">
        <f>VLOOKUP('[1]New Data'!A317,'[1]New Data'!A:Z,25,0)</f>
        <v>2</v>
      </c>
    </row>
    <row r="252" spans="1:14" hidden="1" x14ac:dyDescent="0.35">
      <c r="A252" s="2">
        <v>6094546</v>
      </c>
      <c r="B252" s="2">
        <v>12223</v>
      </c>
      <c r="C252" s="2" t="s">
        <v>270</v>
      </c>
      <c r="D252" s="2" t="s">
        <v>15</v>
      </c>
      <c r="E252" s="3">
        <f>VLOOKUP('[1]New Data'!A147,'[1]New Data'!A:H,8,0)</f>
        <v>46</v>
      </c>
      <c r="F252" s="3" t="str">
        <f>VLOOKUP('[1]New Data'!A147,'[1]New Data'!A:J,10,0)</f>
        <v>Male</v>
      </c>
      <c r="G252" s="3" t="str">
        <f>VLOOKUP('[1]New Data'!A147,'[1]New Data'!A:K,11,0)</f>
        <v>High</v>
      </c>
      <c r="H252" s="4">
        <f>VLOOKUP('[1]New Data'!A147,'[1]New Data'!A:M,13,0)</f>
        <v>45087</v>
      </c>
      <c r="I252" s="5">
        <f>VLOOKUP('[1]New Data'!A147,'[1]New Data'!A:O,15,0)</f>
        <v>6</v>
      </c>
      <c r="J252" s="3">
        <f>VLOOKUP('[1]New Data'!A147,'[1]New Data'!A:P,16,0)</f>
        <v>167.52302639999999</v>
      </c>
      <c r="K252" s="3">
        <f>VLOOKUP('[1]New Data'!A147,'[1]New Data'!A:Q,17,0)</f>
        <v>1005.138159</v>
      </c>
      <c r="L252" s="3" t="str">
        <f>VLOOKUP('[1]New Data'!A252,'[1]New Data'!A:S,19,0)</f>
        <v>Electronics</v>
      </c>
      <c r="M252" s="3" t="str">
        <f>VLOOKUP('[1]New Data'!A252,'[1]New Data'!A:T,20,0)</f>
        <v>Television</v>
      </c>
      <c r="N252" s="5">
        <f>VLOOKUP('[1]New Data'!A147,'[1]New Data'!A:Z,25,0)</f>
        <v>4</v>
      </c>
    </row>
    <row r="253" spans="1:14" hidden="1" x14ac:dyDescent="0.35">
      <c r="A253" s="2">
        <v>9449050</v>
      </c>
      <c r="B253" s="2">
        <v>14899</v>
      </c>
      <c r="C253" s="2" t="s">
        <v>271</v>
      </c>
      <c r="D253" s="2" t="s">
        <v>15</v>
      </c>
      <c r="E253" s="3">
        <f>VLOOKUP('[1]New Data'!A166,'[1]New Data'!A:H,8,0)</f>
        <v>18</v>
      </c>
      <c r="F253" s="3" t="str">
        <f>VLOOKUP('[1]New Data'!A166,'[1]New Data'!A:J,10,0)</f>
        <v>Male</v>
      </c>
      <c r="G253" s="3" t="str">
        <f>VLOOKUP('[1]New Data'!A166,'[1]New Data'!A:K,11,0)</f>
        <v>Medium</v>
      </c>
      <c r="H253" s="4">
        <f>VLOOKUP('[1]New Data'!A166,'[1]New Data'!A:M,13,0)</f>
        <v>45060</v>
      </c>
      <c r="I253" s="5">
        <f>VLOOKUP('[1]New Data'!A166,'[1]New Data'!A:O,15,0)</f>
        <v>4</v>
      </c>
      <c r="J253" s="3">
        <f>VLOOKUP('[1]New Data'!A166,'[1]New Data'!A:P,16,0)</f>
        <v>249.23090089999999</v>
      </c>
      <c r="K253" s="3">
        <f>VLOOKUP('[1]New Data'!A166,'[1]New Data'!A:Q,17,0)</f>
        <v>996.92360369999994</v>
      </c>
      <c r="L253" s="3" t="str">
        <f>VLOOKUP('[1]New Data'!A253,'[1]New Data'!A:S,19,0)</f>
        <v>Electronics</v>
      </c>
      <c r="M253" s="3" t="str">
        <f>VLOOKUP('[1]New Data'!A253,'[1]New Data'!A:T,20,0)</f>
        <v>Tablet</v>
      </c>
      <c r="N253" s="5">
        <f>VLOOKUP('[1]New Data'!A166,'[1]New Data'!A:Z,25,0)</f>
        <v>3</v>
      </c>
    </row>
    <row r="254" spans="1:14" x14ac:dyDescent="0.35">
      <c r="A254" s="2">
        <v>7509621</v>
      </c>
      <c r="B254" s="2">
        <v>87729</v>
      </c>
      <c r="C254" s="2" t="s">
        <v>272</v>
      </c>
      <c r="D254" s="2" t="s">
        <v>15</v>
      </c>
      <c r="E254" s="3">
        <f>VLOOKUP('[1]New Data'!A70,'[1]New Data'!A:H,8,0)</f>
        <v>25</v>
      </c>
      <c r="F254" s="3" t="str">
        <f>VLOOKUP('[1]New Data'!A70,'[1]New Data'!A:J,10,0)</f>
        <v>Female</v>
      </c>
      <c r="G254" s="3" t="str">
        <f>VLOOKUP('[1]New Data'!A70,'[1]New Data'!A:K,11,0)</f>
        <v>Medium</v>
      </c>
      <c r="H254" s="4">
        <f>VLOOKUP('[1]New Data'!A70,'[1]New Data'!A:M,13,0)</f>
        <v>45272</v>
      </c>
      <c r="I254" s="5">
        <f>VLOOKUP('[1]New Data'!A70,'[1]New Data'!A:O,15,0)</f>
        <v>4</v>
      </c>
      <c r="J254" s="3">
        <f>VLOOKUP('[1]New Data'!A70,'[1]New Data'!A:P,16,0)</f>
        <v>245.18673340000001</v>
      </c>
      <c r="K254" s="3">
        <f>VLOOKUP('[1]New Data'!A70,'[1]New Data'!A:Q,17,0)</f>
        <v>980.7469337</v>
      </c>
      <c r="L254" s="3" t="str">
        <f>VLOOKUP('[1]New Data'!A254,'[1]New Data'!A:S,19,0)</f>
        <v>Home Decor</v>
      </c>
      <c r="M254" s="3" t="str">
        <f>VLOOKUP('[1]New Data'!A254,'[1]New Data'!A:T,20,0)</f>
        <v>Furniture</v>
      </c>
      <c r="N254" s="5">
        <f>VLOOKUP('[1]New Data'!A70,'[1]New Data'!A:Z,25,0)</f>
        <v>4</v>
      </c>
    </row>
    <row r="255" spans="1:14" hidden="1" x14ac:dyDescent="0.35">
      <c r="A255" s="2">
        <v>9658399</v>
      </c>
      <c r="B255" s="2">
        <v>71121</v>
      </c>
      <c r="C255" s="2" t="s">
        <v>273</v>
      </c>
      <c r="D255" s="2" t="s">
        <v>15</v>
      </c>
      <c r="E255" s="3">
        <f>VLOOKUP('[1]New Data'!A59,'[1]New Data'!A:H,8,0)</f>
        <v>54</v>
      </c>
      <c r="F255" s="3" t="str">
        <f>VLOOKUP('[1]New Data'!A59,'[1]New Data'!A:J,10,0)</f>
        <v>Female</v>
      </c>
      <c r="G255" s="3" t="str">
        <f>VLOOKUP('[1]New Data'!A59,'[1]New Data'!A:K,11,0)</f>
        <v>High</v>
      </c>
      <c r="H255" s="4">
        <f>VLOOKUP('[1]New Data'!A59,'[1]New Data'!A:M,13,0)</f>
        <v>45340</v>
      </c>
      <c r="I255" s="5">
        <f>VLOOKUP('[1]New Data'!A59,'[1]New Data'!A:O,15,0)</f>
        <v>10</v>
      </c>
      <c r="J255" s="3">
        <f>VLOOKUP('[1]New Data'!A59,'[1]New Data'!A:P,16,0)</f>
        <v>97.996788559999999</v>
      </c>
      <c r="K255" s="3">
        <f>VLOOKUP('[1]New Data'!A59,'[1]New Data'!A:Q,17,0)</f>
        <v>979.96788560000005</v>
      </c>
      <c r="L255" s="3" t="str">
        <f>VLOOKUP('[1]New Data'!A255,'[1]New Data'!A:S,19,0)</f>
        <v>Electronics</v>
      </c>
      <c r="M255" s="3" t="str">
        <f>VLOOKUP('[1]New Data'!A255,'[1]New Data'!A:T,20,0)</f>
        <v>Laptop</v>
      </c>
      <c r="N255" s="5">
        <f>VLOOKUP('[1]New Data'!A59,'[1]New Data'!A:Z,25,0)</f>
        <v>1</v>
      </c>
    </row>
    <row r="256" spans="1:14" hidden="1" x14ac:dyDescent="0.35">
      <c r="A256" s="2">
        <v>9970701</v>
      </c>
      <c r="B256" s="2">
        <v>79487</v>
      </c>
      <c r="C256" s="2" t="s">
        <v>274</v>
      </c>
      <c r="D256" s="2" t="s">
        <v>15</v>
      </c>
      <c r="E256" s="3">
        <f>VLOOKUP('[1]New Data'!A197,'[1]New Data'!A:H,8,0)</f>
        <v>39</v>
      </c>
      <c r="F256" s="3" t="str">
        <f>VLOOKUP('[1]New Data'!A197,'[1]New Data'!A:J,10,0)</f>
        <v>Male</v>
      </c>
      <c r="G256" s="3" t="str">
        <f>VLOOKUP('[1]New Data'!A197,'[1]New Data'!A:K,11,0)</f>
        <v>Low</v>
      </c>
      <c r="H256" s="4">
        <f>VLOOKUP('[1]New Data'!A197,'[1]New Data'!A:M,13,0)</f>
        <v>45346</v>
      </c>
      <c r="I256" s="5">
        <f>VLOOKUP('[1]New Data'!A197,'[1]New Data'!A:O,15,0)</f>
        <v>2</v>
      </c>
      <c r="J256" s="3">
        <f>VLOOKUP('[1]New Data'!A197,'[1]New Data'!A:P,16,0)</f>
        <v>489.81710470000002</v>
      </c>
      <c r="K256" s="3">
        <f>VLOOKUP('[1]New Data'!A197,'[1]New Data'!A:Q,17,0)</f>
        <v>979.63420940000003</v>
      </c>
      <c r="L256" s="3" t="str">
        <f>VLOOKUP('[1]New Data'!A256,'[1]New Data'!A:S,19,0)</f>
        <v>Books</v>
      </c>
      <c r="M256" s="3" t="str">
        <f>VLOOKUP('[1]New Data'!A256,'[1]New Data'!A:T,20,0)</f>
        <v>Fiction</v>
      </c>
      <c r="N256" s="5">
        <f>VLOOKUP('[1]New Data'!A197,'[1]New Data'!A:Z,25,0)</f>
        <v>2</v>
      </c>
    </row>
    <row r="257" spans="1:14" hidden="1" x14ac:dyDescent="0.35">
      <c r="A257" s="2">
        <v>9845803</v>
      </c>
      <c r="B257" s="2">
        <v>79052</v>
      </c>
      <c r="C257" s="2" t="s">
        <v>275</v>
      </c>
      <c r="D257" s="2" t="s">
        <v>15</v>
      </c>
      <c r="E257" s="3">
        <f>VLOOKUP('[1]New Data'!A72,'[1]New Data'!A:H,8,0)</f>
        <v>57</v>
      </c>
      <c r="F257" s="3" t="str">
        <f>VLOOKUP('[1]New Data'!A72,'[1]New Data'!A:J,10,0)</f>
        <v>Female</v>
      </c>
      <c r="G257" s="3" t="str">
        <f>VLOOKUP('[1]New Data'!A72,'[1]New Data'!A:K,11,0)</f>
        <v>High</v>
      </c>
      <c r="H257" s="4">
        <f>VLOOKUP('[1]New Data'!A72,'[1]New Data'!A:M,13,0)</f>
        <v>45244</v>
      </c>
      <c r="I257" s="5">
        <f>VLOOKUP('[1]New Data'!A72,'[1]New Data'!A:O,15,0)</f>
        <v>7</v>
      </c>
      <c r="J257" s="3">
        <f>VLOOKUP('[1]New Data'!A72,'[1]New Data'!A:P,16,0)</f>
        <v>139.8812925</v>
      </c>
      <c r="K257" s="3">
        <f>VLOOKUP('[1]New Data'!A72,'[1]New Data'!A:Q,17,0)</f>
        <v>979.16904739999995</v>
      </c>
      <c r="L257" s="3" t="str">
        <f>VLOOKUP('[1]New Data'!A257,'[1]New Data'!A:S,19,0)</f>
        <v>Clothing</v>
      </c>
      <c r="M257" s="3" t="str">
        <f>VLOOKUP('[1]New Data'!A257,'[1]New Data'!A:T,20,0)</f>
        <v>T-shirt</v>
      </c>
      <c r="N257" s="5">
        <f>VLOOKUP('[1]New Data'!A72,'[1]New Data'!A:Z,25,0)</f>
        <v>4</v>
      </c>
    </row>
    <row r="258" spans="1:14" hidden="1" x14ac:dyDescent="0.35">
      <c r="A258" s="2">
        <v>8783109</v>
      </c>
      <c r="B258" s="2">
        <v>65305</v>
      </c>
      <c r="C258" s="2" t="s">
        <v>276</v>
      </c>
      <c r="D258" s="2" t="s">
        <v>15</v>
      </c>
      <c r="E258" s="3">
        <f>VLOOKUP('[1]New Data'!A38,'[1]New Data'!A:H,8,0)</f>
        <v>19</v>
      </c>
      <c r="F258" s="3" t="str">
        <f>VLOOKUP('[1]New Data'!A38,'[1]New Data'!A:J,10,0)</f>
        <v>Male</v>
      </c>
      <c r="G258" s="3" t="str">
        <f>VLOOKUP('[1]New Data'!A38,'[1]New Data'!A:K,11,0)</f>
        <v>High</v>
      </c>
      <c r="H258" s="4">
        <f>VLOOKUP('[1]New Data'!A38,'[1]New Data'!A:M,13,0)</f>
        <v>45272</v>
      </c>
      <c r="I258" s="5">
        <f>VLOOKUP('[1]New Data'!A38,'[1]New Data'!A:O,15,0)</f>
        <v>5</v>
      </c>
      <c r="J258" s="3">
        <f>VLOOKUP('[1]New Data'!A38,'[1]New Data'!A:P,16,0)</f>
        <v>195.55140299999999</v>
      </c>
      <c r="K258" s="3">
        <f>VLOOKUP('[1]New Data'!A38,'[1]New Data'!A:Q,17,0)</f>
        <v>977.75701479999998</v>
      </c>
      <c r="L258" s="3" t="str">
        <f>VLOOKUP('[1]New Data'!A258,'[1]New Data'!A:S,19,0)</f>
        <v>Electronics</v>
      </c>
      <c r="M258" s="3" t="str">
        <f>VLOOKUP('[1]New Data'!A258,'[1]New Data'!A:T,20,0)</f>
        <v>Smartphone</v>
      </c>
      <c r="N258" s="5">
        <f>VLOOKUP('[1]New Data'!A38,'[1]New Data'!A:Z,25,0)</f>
        <v>4</v>
      </c>
    </row>
    <row r="259" spans="1:14" hidden="1" x14ac:dyDescent="0.35">
      <c r="A259" s="2">
        <v>5404187</v>
      </c>
      <c r="B259" s="2">
        <v>23713</v>
      </c>
      <c r="C259" s="2" t="s">
        <v>277</v>
      </c>
      <c r="D259" s="2" t="s">
        <v>15</v>
      </c>
      <c r="E259" s="3">
        <f>VLOOKUP('[1]New Data'!A35,'[1]New Data'!A:H,8,0)</f>
        <v>31</v>
      </c>
      <c r="F259" s="3" t="str">
        <f>VLOOKUP('[1]New Data'!A35,'[1]New Data'!A:J,10,0)</f>
        <v>Male</v>
      </c>
      <c r="G259" s="3" t="str">
        <f>VLOOKUP('[1]New Data'!A35,'[1]New Data'!A:K,11,0)</f>
        <v>Low</v>
      </c>
      <c r="H259" s="4">
        <f>VLOOKUP('[1]New Data'!A35,'[1]New Data'!A:M,13,0)</f>
        <v>45106</v>
      </c>
      <c r="I259" s="5">
        <f>VLOOKUP('[1]New Data'!A35,'[1]New Data'!A:O,15,0)</f>
        <v>4</v>
      </c>
      <c r="J259" s="3">
        <f>VLOOKUP('[1]New Data'!A35,'[1]New Data'!A:P,16,0)</f>
        <v>243.64027630000001</v>
      </c>
      <c r="K259" s="3">
        <f>VLOOKUP('[1]New Data'!A35,'[1]New Data'!A:Q,17,0)</f>
        <v>974.56110520000004</v>
      </c>
      <c r="L259" s="3" t="str">
        <f>VLOOKUP('[1]New Data'!A259,'[1]New Data'!A:S,19,0)</f>
        <v>Books</v>
      </c>
      <c r="M259" s="3" t="str">
        <f>VLOOKUP('[1]New Data'!A259,'[1]New Data'!A:T,20,0)</f>
        <v>Non-Fiction</v>
      </c>
      <c r="N259" s="5">
        <f>VLOOKUP('[1]New Data'!A35,'[1]New Data'!A:Z,25,0)</f>
        <v>2</v>
      </c>
    </row>
    <row r="260" spans="1:14" hidden="1" x14ac:dyDescent="0.35">
      <c r="A260" s="2">
        <v>1722757</v>
      </c>
      <c r="B260" s="2">
        <v>39003</v>
      </c>
      <c r="C260" s="2" t="s">
        <v>278</v>
      </c>
      <c r="D260" s="2" t="s">
        <v>15</v>
      </c>
      <c r="E260" s="3">
        <f>VLOOKUP('[1]New Data'!A251,'[1]New Data'!A:H,8,0)</f>
        <v>23</v>
      </c>
      <c r="F260" s="3" t="str">
        <f>VLOOKUP('[1]New Data'!A251,'[1]New Data'!A:J,10,0)</f>
        <v>Female</v>
      </c>
      <c r="G260" s="3" t="str">
        <f>VLOOKUP('[1]New Data'!A251,'[1]New Data'!A:K,11,0)</f>
        <v>High</v>
      </c>
      <c r="H260" s="4">
        <f>VLOOKUP('[1]New Data'!A251,'[1]New Data'!A:M,13,0)</f>
        <v>45080</v>
      </c>
      <c r="I260" s="5">
        <f>VLOOKUP('[1]New Data'!A251,'[1]New Data'!A:O,15,0)</f>
        <v>2</v>
      </c>
      <c r="J260" s="3">
        <f>VLOOKUP('[1]New Data'!A251,'[1]New Data'!A:P,16,0)</f>
        <v>486.21569679999999</v>
      </c>
      <c r="K260" s="3">
        <f>VLOOKUP('[1]New Data'!A251,'[1]New Data'!A:Q,17,0)</f>
        <v>972.43139350000001</v>
      </c>
      <c r="L260" s="3" t="str">
        <f>VLOOKUP('[1]New Data'!A260,'[1]New Data'!A:S,19,0)</f>
        <v>Clothing</v>
      </c>
      <c r="M260" s="3" t="str">
        <f>VLOOKUP('[1]New Data'!A260,'[1]New Data'!A:T,20,0)</f>
        <v>Dress</v>
      </c>
      <c r="N260" s="5">
        <f>VLOOKUP('[1]New Data'!A251,'[1]New Data'!A:Z,25,0)</f>
        <v>1</v>
      </c>
    </row>
    <row r="261" spans="1:14" hidden="1" x14ac:dyDescent="0.35">
      <c r="A261" s="2">
        <v>6615549</v>
      </c>
      <c r="B261" s="2">
        <v>37748</v>
      </c>
      <c r="C261" s="2" t="s">
        <v>279</v>
      </c>
      <c r="D261" s="2" t="s">
        <v>15</v>
      </c>
      <c r="E261" s="3">
        <f>VLOOKUP('[1]New Data'!A150,'[1]New Data'!A:H,8,0)</f>
        <v>39</v>
      </c>
      <c r="F261" s="3" t="str">
        <f>VLOOKUP('[1]New Data'!A150,'[1]New Data'!A:J,10,0)</f>
        <v>Male</v>
      </c>
      <c r="G261" s="3" t="str">
        <f>VLOOKUP('[1]New Data'!A150,'[1]New Data'!A:K,11,0)</f>
        <v>Low</v>
      </c>
      <c r="H261" s="4">
        <f>VLOOKUP('[1]New Data'!A150,'[1]New Data'!A:M,13,0)</f>
        <v>45320</v>
      </c>
      <c r="I261" s="5">
        <f>VLOOKUP('[1]New Data'!A150,'[1]New Data'!A:O,15,0)</f>
        <v>5</v>
      </c>
      <c r="J261" s="3">
        <f>VLOOKUP('[1]New Data'!A150,'[1]New Data'!A:P,16,0)</f>
        <v>194.123119</v>
      </c>
      <c r="K261" s="3">
        <f>VLOOKUP('[1]New Data'!A150,'[1]New Data'!A:Q,17,0)</f>
        <v>970.61559480000005</v>
      </c>
      <c r="L261" s="3" t="str">
        <f>VLOOKUP('[1]New Data'!A261,'[1]New Data'!A:S,19,0)</f>
        <v>Electronics</v>
      </c>
      <c r="M261" s="3" t="str">
        <f>VLOOKUP('[1]New Data'!A261,'[1]New Data'!A:T,20,0)</f>
        <v>Television</v>
      </c>
      <c r="N261" s="5">
        <f>VLOOKUP('[1]New Data'!A150,'[1]New Data'!A:Z,25,0)</f>
        <v>1</v>
      </c>
    </row>
    <row r="262" spans="1:14" hidden="1" x14ac:dyDescent="0.35">
      <c r="A262" s="2">
        <v>1505270</v>
      </c>
      <c r="B262" s="2">
        <v>38517</v>
      </c>
      <c r="C262" s="2" t="s">
        <v>280</v>
      </c>
      <c r="D262" s="2" t="s">
        <v>15</v>
      </c>
      <c r="E262" s="3">
        <f>VLOOKUP('[1]New Data'!A37,'[1]New Data'!A:H,8,0)</f>
        <v>54</v>
      </c>
      <c r="F262" s="3" t="str">
        <f>VLOOKUP('[1]New Data'!A37,'[1]New Data'!A:J,10,0)</f>
        <v>Male</v>
      </c>
      <c r="G262" s="3" t="str">
        <f>VLOOKUP('[1]New Data'!A37,'[1]New Data'!A:K,11,0)</f>
        <v>Low</v>
      </c>
      <c r="H262" s="4">
        <f>VLOOKUP('[1]New Data'!A37,'[1]New Data'!A:M,13,0)</f>
        <v>45026</v>
      </c>
      <c r="I262" s="5">
        <f>VLOOKUP('[1]New Data'!A37,'[1]New Data'!A:O,15,0)</f>
        <v>3</v>
      </c>
      <c r="J262" s="3">
        <f>VLOOKUP('[1]New Data'!A37,'[1]New Data'!A:P,16,0)</f>
        <v>322.1477142</v>
      </c>
      <c r="K262" s="3">
        <f>VLOOKUP('[1]New Data'!A37,'[1]New Data'!A:Q,17,0)</f>
        <v>966.44314269999995</v>
      </c>
      <c r="L262" s="3" t="str">
        <f>VLOOKUP('[1]New Data'!A262,'[1]New Data'!A:S,19,0)</f>
        <v>Clothing</v>
      </c>
      <c r="M262" s="3" t="str">
        <f>VLOOKUP('[1]New Data'!A262,'[1]New Data'!A:T,20,0)</f>
        <v>Shoes</v>
      </c>
      <c r="N262" s="5">
        <f>VLOOKUP('[1]New Data'!A37,'[1]New Data'!A:Z,25,0)</f>
        <v>4</v>
      </c>
    </row>
    <row r="263" spans="1:14" hidden="1" x14ac:dyDescent="0.35">
      <c r="A263" s="2">
        <v>5202314</v>
      </c>
      <c r="B263" s="2">
        <v>22042</v>
      </c>
      <c r="C263" s="2" t="s">
        <v>281</v>
      </c>
      <c r="D263" s="2" t="s">
        <v>15</v>
      </c>
      <c r="E263" s="3">
        <f>VLOOKUP('[1]New Data'!A411,'[1]New Data'!A:H,8,0)</f>
        <v>48</v>
      </c>
      <c r="F263" s="3" t="str">
        <f>VLOOKUP('[1]New Data'!A411,'[1]New Data'!A:J,10,0)</f>
        <v>Male</v>
      </c>
      <c r="G263" s="3" t="str">
        <f>VLOOKUP('[1]New Data'!A411,'[1]New Data'!A:K,11,0)</f>
        <v>Low</v>
      </c>
      <c r="H263" s="4">
        <f>VLOOKUP('[1]New Data'!A411,'[1]New Data'!A:M,13,0)</f>
        <v>45138</v>
      </c>
      <c r="I263" s="5">
        <f>VLOOKUP('[1]New Data'!A411,'[1]New Data'!A:O,15,0)</f>
        <v>2</v>
      </c>
      <c r="J263" s="3">
        <f>VLOOKUP('[1]New Data'!A411,'[1]New Data'!A:P,16,0)</f>
        <v>483.17710369999998</v>
      </c>
      <c r="K263" s="3">
        <f>VLOOKUP('[1]New Data'!A411,'[1]New Data'!A:Q,17,0)</f>
        <v>966.35420739999995</v>
      </c>
      <c r="L263" s="3" t="str">
        <f>VLOOKUP('[1]New Data'!A263,'[1]New Data'!A:S,19,0)</f>
        <v>Clothing</v>
      </c>
      <c r="M263" s="3" t="str">
        <f>VLOOKUP('[1]New Data'!A263,'[1]New Data'!A:T,20,0)</f>
        <v>Shoes</v>
      </c>
      <c r="N263" s="5">
        <f>VLOOKUP('[1]New Data'!A411,'[1]New Data'!A:Z,25,0)</f>
        <v>5</v>
      </c>
    </row>
    <row r="264" spans="1:14" hidden="1" x14ac:dyDescent="0.35">
      <c r="A264" s="2">
        <v>8164996</v>
      </c>
      <c r="B264" s="2">
        <v>12604</v>
      </c>
      <c r="C264" s="2" t="s">
        <v>282</v>
      </c>
      <c r="D264" s="2" t="s">
        <v>15</v>
      </c>
      <c r="E264" s="3">
        <f>VLOOKUP('[1]New Data'!A85,'[1]New Data'!A:H,8,0)</f>
        <v>47</v>
      </c>
      <c r="F264" s="3" t="str">
        <f>VLOOKUP('[1]New Data'!A85,'[1]New Data'!A:J,10,0)</f>
        <v>Male</v>
      </c>
      <c r="G264" s="3" t="str">
        <f>VLOOKUP('[1]New Data'!A85,'[1]New Data'!A:K,11,0)</f>
        <v>Low</v>
      </c>
      <c r="H264" s="4">
        <f>VLOOKUP('[1]New Data'!A85,'[1]New Data'!A:M,13,0)</f>
        <v>45266</v>
      </c>
      <c r="I264" s="5">
        <f>VLOOKUP('[1]New Data'!A85,'[1]New Data'!A:O,15,0)</f>
        <v>6</v>
      </c>
      <c r="J264" s="3">
        <f>VLOOKUP('[1]New Data'!A85,'[1]New Data'!A:P,16,0)</f>
        <v>159.71959659999999</v>
      </c>
      <c r="K264" s="3">
        <f>VLOOKUP('[1]New Data'!A85,'[1]New Data'!A:Q,17,0)</f>
        <v>958.31757960000004</v>
      </c>
      <c r="L264" s="3" t="str">
        <f>VLOOKUP('[1]New Data'!A264,'[1]New Data'!A:S,19,0)</f>
        <v>Grocery</v>
      </c>
      <c r="M264" s="3" t="str">
        <f>VLOOKUP('[1]New Data'!A264,'[1]New Data'!A:T,20,0)</f>
        <v>Chocolate</v>
      </c>
      <c r="N264" s="5">
        <f>VLOOKUP('[1]New Data'!A85,'[1]New Data'!A:Z,25,0)</f>
        <v>2</v>
      </c>
    </row>
    <row r="265" spans="1:14" x14ac:dyDescent="0.35">
      <c r="A265" s="2">
        <v>4832261</v>
      </c>
      <c r="B265" s="2">
        <v>38047</v>
      </c>
      <c r="C265" s="2" t="s">
        <v>283</v>
      </c>
      <c r="D265" s="2" t="s">
        <v>15</v>
      </c>
      <c r="E265" s="3">
        <f>VLOOKUP('[1]New Data'!A374,'[1]New Data'!A:H,8,0)</f>
        <v>67</v>
      </c>
      <c r="F265" s="3" t="str">
        <f>VLOOKUP('[1]New Data'!A374,'[1]New Data'!A:J,10,0)</f>
        <v>Male</v>
      </c>
      <c r="G265" s="3" t="str">
        <f>VLOOKUP('[1]New Data'!A374,'[1]New Data'!A:K,11,0)</f>
        <v>Low</v>
      </c>
      <c r="H265" s="4">
        <f>VLOOKUP('[1]New Data'!A374,'[1]New Data'!A:M,13,0)</f>
        <v>45317</v>
      </c>
      <c r="I265" s="5">
        <f>VLOOKUP('[1]New Data'!A374,'[1]New Data'!A:O,15,0)</f>
        <v>3</v>
      </c>
      <c r="J265" s="3">
        <f>VLOOKUP('[1]New Data'!A374,'[1]New Data'!A:P,16,0)</f>
        <v>317.12894080000001</v>
      </c>
      <c r="K265" s="3">
        <f>VLOOKUP('[1]New Data'!A374,'[1]New Data'!A:Q,17,0)</f>
        <v>951.38682249999999</v>
      </c>
      <c r="L265" s="3" t="str">
        <f>VLOOKUP('[1]New Data'!A265,'[1]New Data'!A:S,19,0)</f>
        <v>Home Decor</v>
      </c>
      <c r="M265" s="3" t="str">
        <f>VLOOKUP('[1]New Data'!A265,'[1]New Data'!A:T,20,0)</f>
        <v>Decorations</v>
      </c>
      <c r="N265" s="5">
        <f>VLOOKUP('[1]New Data'!A374,'[1]New Data'!A:Z,25,0)</f>
        <v>1</v>
      </c>
    </row>
    <row r="266" spans="1:14" hidden="1" x14ac:dyDescent="0.35">
      <c r="A266" s="2">
        <v>8810446</v>
      </c>
      <c r="B266" s="2">
        <v>93866</v>
      </c>
      <c r="C266" s="2" t="s">
        <v>284</v>
      </c>
      <c r="D266" s="2" t="s">
        <v>15</v>
      </c>
      <c r="E266" s="3">
        <f>VLOOKUP('[1]New Data'!A169,'[1]New Data'!A:H,8,0)</f>
        <v>32</v>
      </c>
      <c r="F266" s="3" t="str">
        <f>VLOOKUP('[1]New Data'!A169,'[1]New Data'!A:J,10,0)</f>
        <v>Female</v>
      </c>
      <c r="G266" s="3" t="str">
        <f>VLOOKUP('[1]New Data'!A169,'[1]New Data'!A:K,11,0)</f>
        <v>Medium</v>
      </c>
      <c r="H266" s="4">
        <f>VLOOKUP('[1]New Data'!A169,'[1]New Data'!A:M,13,0)</f>
        <v>45192</v>
      </c>
      <c r="I266" s="5">
        <f>VLOOKUP('[1]New Data'!A169,'[1]New Data'!A:O,15,0)</f>
        <v>5</v>
      </c>
      <c r="J266" s="3">
        <f>VLOOKUP('[1]New Data'!A169,'[1]New Data'!A:P,16,0)</f>
        <v>188.72045489999999</v>
      </c>
      <c r="K266" s="3">
        <f>VLOOKUP('[1]New Data'!A169,'[1]New Data'!A:Q,17,0)</f>
        <v>943.60227459999999</v>
      </c>
      <c r="L266" s="3" t="str">
        <f>VLOOKUP('[1]New Data'!A266,'[1]New Data'!A:S,19,0)</f>
        <v>Grocery</v>
      </c>
      <c r="M266" s="3" t="str">
        <f>VLOOKUP('[1]New Data'!A266,'[1]New Data'!A:T,20,0)</f>
        <v>Water</v>
      </c>
      <c r="N266" s="5">
        <f>VLOOKUP('[1]New Data'!A169,'[1]New Data'!A:Z,25,0)</f>
        <v>1</v>
      </c>
    </row>
    <row r="267" spans="1:14" hidden="1" x14ac:dyDescent="0.35">
      <c r="A267" s="2">
        <v>3489336</v>
      </c>
      <c r="B267" s="2">
        <v>40654</v>
      </c>
      <c r="C267" s="2" t="s">
        <v>285</v>
      </c>
      <c r="D267" s="2" t="s">
        <v>15</v>
      </c>
      <c r="E267" s="3">
        <f>VLOOKUP('[1]New Data'!A21,'[1]New Data'!A:H,8,0)</f>
        <v>69</v>
      </c>
      <c r="F267" s="3" t="str">
        <f>VLOOKUP('[1]New Data'!A21,'[1]New Data'!A:J,10,0)</f>
        <v>Male</v>
      </c>
      <c r="G267" s="3" t="str">
        <f>VLOOKUP('[1]New Data'!A21,'[1]New Data'!A:K,11,0)</f>
        <v>Low</v>
      </c>
      <c r="H267" s="4">
        <f>VLOOKUP('[1]New Data'!A21,'[1]New Data'!A:M,13,0)</f>
        <v>45223</v>
      </c>
      <c r="I267" s="5">
        <f>VLOOKUP('[1]New Data'!A21,'[1]New Data'!A:O,15,0)</f>
        <v>2</v>
      </c>
      <c r="J267" s="3">
        <f>VLOOKUP('[1]New Data'!A21,'[1]New Data'!A:P,16,0)</f>
        <v>469.65963920000002</v>
      </c>
      <c r="K267" s="3">
        <f>VLOOKUP('[1]New Data'!A21,'[1]New Data'!A:Q,17,0)</f>
        <v>939.31927829999995</v>
      </c>
      <c r="L267" s="3" t="str">
        <f>VLOOKUP('[1]New Data'!A267,'[1]New Data'!A:S,19,0)</f>
        <v>Clothing</v>
      </c>
      <c r="M267" s="3" t="str">
        <f>VLOOKUP('[1]New Data'!A267,'[1]New Data'!A:T,20,0)</f>
        <v>Shoes</v>
      </c>
      <c r="N267" s="5">
        <f>VLOOKUP('[1]New Data'!A21,'[1]New Data'!A:Z,25,0)</f>
        <v>2</v>
      </c>
    </row>
    <row r="268" spans="1:14" hidden="1" x14ac:dyDescent="0.35">
      <c r="A268" s="2">
        <v>3239367</v>
      </c>
      <c r="B268" s="2">
        <v>62464</v>
      </c>
      <c r="C268" s="2" t="s">
        <v>286</v>
      </c>
      <c r="D268" s="2" t="s">
        <v>15</v>
      </c>
      <c r="E268" s="3">
        <f>VLOOKUP('[1]New Data'!A46,'[1]New Data'!A:H,8,0)</f>
        <v>58</v>
      </c>
      <c r="F268" s="3" t="str">
        <f>VLOOKUP('[1]New Data'!A46,'[1]New Data'!A:J,10,0)</f>
        <v>Female</v>
      </c>
      <c r="G268" s="3" t="str">
        <f>VLOOKUP('[1]New Data'!A46,'[1]New Data'!A:K,11,0)</f>
        <v>High</v>
      </c>
      <c r="H268" s="4">
        <f>VLOOKUP('[1]New Data'!A46,'[1]New Data'!A:M,13,0)</f>
        <v>45274</v>
      </c>
      <c r="I268" s="5">
        <f>VLOOKUP('[1]New Data'!A46,'[1]New Data'!A:O,15,0)</f>
        <v>3</v>
      </c>
      <c r="J268" s="3">
        <f>VLOOKUP('[1]New Data'!A46,'[1]New Data'!A:P,16,0)</f>
        <v>312.97657270000002</v>
      </c>
      <c r="K268" s="3">
        <f>VLOOKUP('[1]New Data'!A46,'[1]New Data'!A:Q,17,0)</f>
        <v>938.92971799999998</v>
      </c>
      <c r="L268" s="3" t="str">
        <f>VLOOKUP('[1]New Data'!A268,'[1]New Data'!A:S,19,0)</f>
        <v>Books</v>
      </c>
      <c r="M268" s="3" t="str">
        <f>VLOOKUP('[1]New Data'!A268,'[1]New Data'!A:T,20,0)</f>
        <v>Literature</v>
      </c>
      <c r="N268" s="5">
        <f>VLOOKUP('[1]New Data'!A46,'[1]New Data'!A:Z,25,0)</f>
        <v>2</v>
      </c>
    </row>
    <row r="269" spans="1:14" hidden="1" x14ac:dyDescent="0.35">
      <c r="A269" s="2">
        <v>2781672</v>
      </c>
      <c r="B269" s="2">
        <v>73664</v>
      </c>
      <c r="C269" s="2" t="s">
        <v>287</v>
      </c>
      <c r="D269" s="2" t="s">
        <v>15</v>
      </c>
      <c r="E269" s="3">
        <f>VLOOKUP('[1]New Data'!A242,'[1]New Data'!A:H,8,0)</f>
        <v>46</v>
      </c>
      <c r="F269" s="3" t="str">
        <f>VLOOKUP('[1]New Data'!A242,'[1]New Data'!A:J,10,0)</f>
        <v>Male</v>
      </c>
      <c r="G269" s="3" t="str">
        <f>VLOOKUP('[1]New Data'!A242,'[1]New Data'!A:K,11,0)</f>
        <v>Medium</v>
      </c>
      <c r="H269" s="4">
        <f>VLOOKUP('[1]New Data'!A242,'[1]New Data'!A:M,13,0)</f>
        <v>45006</v>
      </c>
      <c r="I269" s="5">
        <f>VLOOKUP('[1]New Data'!A242,'[1]New Data'!A:O,15,0)</f>
        <v>4</v>
      </c>
      <c r="J269" s="3">
        <f>VLOOKUP('[1]New Data'!A242,'[1]New Data'!A:P,16,0)</f>
        <v>229.90852530000001</v>
      </c>
      <c r="K269" s="3">
        <f>VLOOKUP('[1]New Data'!A242,'[1]New Data'!A:Q,17,0)</f>
        <v>919.6341013</v>
      </c>
      <c r="L269" s="3" t="str">
        <f>VLOOKUP('[1]New Data'!A269,'[1]New Data'!A:S,19,0)</f>
        <v>Electronics</v>
      </c>
      <c r="M269" s="3" t="str">
        <f>VLOOKUP('[1]New Data'!A269,'[1]New Data'!A:T,20,0)</f>
        <v>Headphones</v>
      </c>
      <c r="N269" s="5">
        <f>VLOOKUP('[1]New Data'!A242,'[1]New Data'!A:Z,25,0)</f>
        <v>2</v>
      </c>
    </row>
    <row r="270" spans="1:14" hidden="1" x14ac:dyDescent="0.35">
      <c r="A270" s="2">
        <v>3632603</v>
      </c>
      <c r="B270" s="2">
        <v>96811</v>
      </c>
      <c r="C270" s="2" t="s">
        <v>288</v>
      </c>
      <c r="D270" s="2" t="s">
        <v>15</v>
      </c>
      <c r="E270" s="3">
        <f>VLOOKUP('[1]New Data'!A139,'[1]New Data'!A:H,8,0)</f>
        <v>44</v>
      </c>
      <c r="F270" s="3" t="str">
        <f>VLOOKUP('[1]New Data'!A139,'[1]New Data'!A:J,10,0)</f>
        <v>Female</v>
      </c>
      <c r="G270" s="3" t="str">
        <f>VLOOKUP('[1]New Data'!A139,'[1]New Data'!A:K,11,0)</f>
        <v>Medium</v>
      </c>
      <c r="H270" s="4">
        <f>VLOOKUP('[1]New Data'!A139,'[1]New Data'!A:M,13,0)</f>
        <v>45299</v>
      </c>
      <c r="I270" s="5">
        <f>VLOOKUP('[1]New Data'!A139,'[1]New Data'!A:O,15,0)</f>
        <v>2</v>
      </c>
      <c r="J270" s="3">
        <f>VLOOKUP('[1]New Data'!A139,'[1]New Data'!A:P,16,0)</f>
        <v>457.25010789999999</v>
      </c>
      <c r="K270" s="3">
        <f>VLOOKUP('[1]New Data'!A139,'[1]New Data'!A:Q,17,0)</f>
        <v>914.50021579999998</v>
      </c>
      <c r="L270" s="3" t="str">
        <f>VLOOKUP('[1]New Data'!A270,'[1]New Data'!A:S,19,0)</f>
        <v>Grocery</v>
      </c>
      <c r="M270" s="3" t="str">
        <f>VLOOKUP('[1]New Data'!A270,'[1]New Data'!A:T,20,0)</f>
        <v>Coffee</v>
      </c>
      <c r="N270" s="5">
        <f>VLOOKUP('[1]New Data'!A139,'[1]New Data'!A:Z,25,0)</f>
        <v>3</v>
      </c>
    </row>
    <row r="271" spans="1:14" hidden="1" x14ac:dyDescent="0.35">
      <c r="A271" s="2">
        <v>4645610</v>
      </c>
      <c r="B271" s="2">
        <v>49175</v>
      </c>
      <c r="C271" s="2" t="s">
        <v>289</v>
      </c>
      <c r="D271" s="2" t="s">
        <v>15</v>
      </c>
      <c r="E271" s="3">
        <f>VLOOKUP('[1]New Data'!A236,'[1]New Data'!A:H,8,0)</f>
        <v>45</v>
      </c>
      <c r="F271" s="3" t="str">
        <f>VLOOKUP('[1]New Data'!A236,'[1]New Data'!A:J,10,0)</f>
        <v>Male</v>
      </c>
      <c r="G271" s="3" t="str">
        <f>VLOOKUP('[1]New Data'!A236,'[1]New Data'!A:K,11,0)</f>
        <v>Low</v>
      </c>
      <c r="H271" s="4">
        <f>VLOOKUP('[1]New Data'!A236,'[1]New Data'!A:M,13,0)</f>
        <v>45324</v>
      </c>
      <c r="I271" s="5">
        <f>VLOOKUP('[1]New Data'!A236,'[1]New Data'!A:O,15,0)</f>
        <v>2</v>
      </c>
      <c r="J271" s="3">
        <f>VLOOKUP('[1]New Data'!A236,'[1]New Data'!A:P,16,0)</f>
        <v>456.20224830000001</v>
      </c>
      <c r="K271" s="3">
        <f>VLOOKUP('[1]New Data'!A236,'[1]New Data'!A:Q,17,0)</f>
        <v>912.40449650000005</v>
      </c>
      <c r="L271" s="3" t="str">
        <f>VLOOKUP('[1]New Data'!A271,'[1]New Data'!A:S,19,0)</f>
        <v>Clothing</v>
      </c>
      <c r="M271" s="3" t="str">
        <f>VLOOKUP('[1]New Data'!A271,'[1]New Data'!A:T,20,0)</f>
        <v>Jacket</v>
      </c>
      <c r="N271" s="5">
        <f>VLOOKUP('[1]New Data'!A236,'[1]New Data'!A:Z,25,0)</f>
        <v>2</v>
      </c>
    </row>
    <row r="272" spans="1:14" hidden="1" x14ac:dyDescent="0.35">
      <c r="A272" s="2">
        <v>2635116</v>
      </c>
      <c r="B272" s="2">
        <v>91124</v>
      </c>
      <c r="C272" s="2" t="s">
        <v>290</v>
      </c>
      <c r="D272" s="2" t="s">
        <v>15</v>
      </c>
      <c r="E272" s="3">
        <f>VLOOKUP('[1]New Data'!A267,'[1]New Data'!A:H,8,0)</f>
        <v>33</v>
      </c>
      <c r="F272" s="3" t="str">
        <f>VLOOKUP('[1]New Data'!A267,'[1]New Data'!A:J,10,0)</f>
        <v>Male</v>
      </c>
      <c r="G272" s="3" t="str">
        <f>VLOOKUP('[1]New Data'!A267,'[1]New Data'!A:K,11,0)</f>
        <v>High</v>
      </c>
      <c r="H272" s="4">
        <f>VLOOKUP('[1]New Data'!A267,'[1]New Data'!A:M,13,0)</f>
        <v>45011</v>
      </c>
      <c r="I272" s="5">
        <f>VLOOKUP('[1]New Data'!A267,'[1]New Data'!A:O,15,0)</f>
        <v>2</v>
      </c>
      <c r="J272" s="3">
        <f>VLOOKUP('[1]New Data'!A267,'[1]New Data'!A:P,16,0)</f>
        <v>451.44629209999999</v>
      </c>
      <c r="K272" s="3">
        <f>VLOOKUP('[1]New Data'!A267,'[1]New Data'!A:Q,17,0)</f>
        <v>902.89258419999999</v>
      </c>
      <c r="L272" s="3" t="str">
        <f>VLOOKUP('[1]New Data'!A272,'[1]New Data'!A:S,19,0)</f>
        <v>Electronics</v>
      </c>
      <c r="M272" s="3" t="str">
        <f>VLOOKUP('[1]New Data'!A272,'[1]New Data'!A:T,20,0)</f>
        <v>Smartphone</v>
      </c>
      <c r="N272" s="5">
        <f>VLOOKUP('[1]New Data'!A267,'[1]New Data'!A:Z,25,0)</f>
        <v>4</v>
      </c>
    </row>
    <row r="273" spans="1:14" x14ac:dyDescent="0.35">
      <c r="A273" s="2">
        <v>9084403</v>
      </c>
      <c r="B273" s="2">
        <v>89815</v>
      </c>
      <c r="C273" s="2" t="s">
        <v>291</v>
      </c>
      <c r="D273" s="2" t="s">
        <v>15</v>
      </c>
      <c r="E273" s="3">
        <f>VLOOKUP('[1]New Data'!A142,'[1]New Data'!A:H,8,0)</f>
        <v>26</v>
      </c>
      <c r="F273" s="3" t="str">
        <f>VLOOKUP('[1]New Data'!A142,'[1]New Data'!A:J,10,0)</f>
        <v>Male</v>
      </c>
      <c r="G273" s="3" t="str">
        <f>VLOOKUP('[1]New Data'!A142,'[1]New Data'!A:K,11,0)</f>
        <v>Low</v>
      </c>
      <c r="H273" s="4">
        <f>VLOOKUP('[1]New Data'!A142,'[1]New Data'!A:M,13,0)</f>
        <v>45348</v>
      </c>
      <c r="I273" s="5">
        <f>VLOOKUP('[1]New Data'!A142,'[1]New Data'!A:O,15,0)</f>
        <v>3</v>
      </c>
      <c r="J273" s="3">
        <f>VLOOKUP('[1]New Data'!A142,'[1]New Data'!A:P,16,0)</f>
        <v>291.40242050000001</v>
      </c>
      <c r="K273" s="3">
        <f>VLOOKUP('[1]New Data'!A142,'[1]New Data'!A:Q,17,0)</f>
        <v>874.20726139999999</v>
      </c>
      <c r="L273" s="3" t="str">
        <f>VLOOKUP('[1]New Data'!A273,'[1]New Data'!A:S,19,0)</f>
        <v>Home Decor</v>
      </c>
      <c r="M273" s="3" t="str">
        <f>VLOOKUP('[1]New Data'!A273,'[1]New Data'!A:T,20,0)</f>
        <v>Decorations</v>
      </c>
      <c r="N273" s="5">
        <f>VLOOKUP('[1]New Data'!A142,'[1]New Data'!A:Z,25,0)</f>
        <v>4</v>
      </c>
    </row>
    <row r="274" spans="1:14" x14ac:dyDescent="0.35">
      <c r="A274" s="2">
        <v>7042837</v>
      </c>
      <c r="B274" s="2">
        <v>80366</v>
      </c>
      <c r="C274" s="2" t="s">
        <v>292</v>
      </c>
      <c r="D274" s="2" t="s">
        <v>15</v>
      </c>
      <c r="E274" s="3">
        <f>VLOOKUP('[1]New Data'!A239,'[1]New Data'!A:H,8,0)</f>
        <v>44</v>
      </c>
      <c r="F274" s="3" t="str">
        <f>VLOOKUP('[1]New Data'!A239,'[1]New Data'!A:J,10,0)</f>
        <v>Male</v>
      </c>
      <c r="G274" s="3" t="str">
        <f>VLOOKUP('[1]New Data'!A239,'[1]New Data'!A:K,11,0)</f>
        <v>Medium</v>
      </c>
      <c r="H274" s="4">
        <f>VLOOKUP('[1]New Data'!A239,'[1]New Data'!A:M,13,0)</f>
        <v>45136</v>
      </c>
      <c r="I274" s="5">
        <f>VLOOKUP('[1]New Data'!A239,'[1]New Data'!A:O,15,0)</f>
        <v>10</v>
      </c>
      <c r="J274" s="3">
        <f>VLOOKUP('[1]New Data'!A239,'[1]New Data'!A:P,16,0)</f>
        <v>86.849413499999997</v>
      </c>
      <c r="K274" s="3">
        <f>VLOOKUP('[1]New Data'!A239,'[1]New Data'!A:Q,17,0)</f>
        <v>868.49413500000003</v>
      </c>
      <c r="L274" s="3" t="str">
        <f>VLOOKUP('[1]New Data'!A274,'[1]New Data'!A:S,19,0)</f>
        <v>Home Decor</v>
      </c>
      <c r="M274" s="3" t="str">
        <f>VLOOKUP('[1]New Data'!A274,'[1]New Data'!A:T,20,0)</f>
        <v>Bedding</v>
      </c>
      <c r="N274" s="5">
        <f>VLOOKUP('[1]New Data'!A239,'[1]New Data'!A:Z,25,0)</f>
        <v>2</v>
      </c>
    </row>
    <row r="275" spans="1:14" hidden="1" x14ac:dyDescent="0.35">
      <c r="A275" s="2">
        <v>9699039</v>
      </c>
      <c r="B275" s="2">
        <v>55747</v>
      </c>
      <c r="C275" s="2" t="s">
        <v>293</v>
      </c>
      <c r="D275" s="2" t="s">
        <v>15</v>
      </c>
      <c r="E275" s="3">
        <f>VLOOKUP('[1]New Data'!A423,'[1]New Data'!A:H,8,0)</f>
        <v>37</v>
      </c>
      <c r="F275" s="3" t="str">
        <f>VLOOKUP('[1]New Data'!A423,'[1]New Data'!A:J,10,0)</f>
        <v>Female</v>
      </c>
      <c r="G275" s="3" t="str">
        <f>VLOOKUP('[1]New Data'!A423,'[1]New Data'!A:K,11,0)</f>
        <v>High</v>
      </c>
      <c r="H275" s="4">
        <f>VLOOKUP('[1]New Data'!A423,'[1]New Data'!A:M,13,0)</f>
        <v>45015</v>
      </c>
      <c r="I275" s="5">
        <f>VLOOKUP('[1]New Data'!A423,'[1]New Data'!A:O,15,0)</f>
        <v>2</v>
      </c>
      <c r="J275" s="3">
        <f>VLOOKUP('[1]New Data'!A423,'[1]New Data'!A:P,16,0)</f>
        <v>433.54646730000002</v>
      </c>
      <c r="K275" s="3">
        <f>VLOOKUP('[1]New Data'!A423,'[1]New Data'!A:Q,17,0)</f>
        <v>867.09293460000004</v>
      </c>
      <c r="L275" s="3" t="str">
        <f>VLOOKUP('[1]New Data'!A275,'[1]New Data'!A:S,19,0)</f>
        <v>Grocery</v>
      </c>
      <c r="M275" s="3" t="str">
        <f>VLOOKUP('[1]New Data'!A275,'[1]New Data'!A:T,20,0)</f>
        <v>Soft Drink</v>
      </c>
      <c r="N275" s="5">
        <f>VLOOKUP('[1]New Data'!A423,'[1]New Data'!A:Z,25,0)</f>
        <v>2</v>
      </c>
    </row>
    <row r="276" spans="1:14" x14ac:dyDescent="0.35">
      <c r="A276" s="2">
        <v>1983549</v>
      </c>
      <c r="B276" s="2">
        <v>18932</v>
      </c>
      <c r="C276" s="2" t="s">
        <v>294</v>
      </c>
      <c r="D276" s="2" t="s">
        <v>15</v>
      </c>
      <c r="E276" s="3">
        <f>VLOOKUP('[1]New Data'!A250,'[1]New Data'!A:H,8,0)</f>
        <v>40</v>
      </c>
      <c r="F276" s="3" t="str">
        <f>VLOOKUP('[1]New Data'!A250,'[1]New Data'!A:J,10,0)</f>
        <v>Female</v>
      </c>
      <c r="G276" s="3" t="str">
        <f>VLOOKUP('[1]New Data'!A250,'[1]New Data'!A:K,11,0)</f>
        <v>High</v>
      </c>
      <c r="H276" s="4">
        <f>VLOOKUP('[1]New Data'!A250,'[1]New Data'!A:M,13,0)</f>
        <v>45199</v>
      </c>
      <c r="I276" s="5">
        <f>VLOOKUP('[1]New Data'!A250,'[1]New Data'!A:O,15,0)</f>
        <v>7</v>
      </c>
      <c r="J276" s="3">
        <f>VLOOKUP('[1]New Data'!A250,'[1]New Data'!A:P,16,0)</f>
        <v>123.8693835</v>
      </c>
      <c r="K276" s="3">
        <f>VLOOKUP('[1]New Data'!A250,'[1]New Data'!A:Q,17,0)</f>
        <v>867.08568419999995</v>
      </c>
      <c r="L276" s="3" t="str">
        <f>VLOOKUP('[1]New Data'!A276,'[1]New Data'!A:S,19,0)</f>
        <v>Home Decor</v>
      </c>
      <c r="M276" s="3" t="str">
        <f>VLOOKUP('[1]New Data'!A276,'[1]New Data'!A:T,20,0)</f>
        <v>Tools</v>
      </c>
      <c r="N276" s="5">
        <f>VLOOKUP('[1]New Data'!A250,'[1]New Data'!A:Z,25,0)</f>
        <v>4</v>
      </c>
    </row>
    <row r="277" spans="1:14" hidden="1" x14ac:dyDescent="0.35">
      <c r="A277" s="2">
        <v>8025037</v>
      </c>
      <c r="B277" s="2">
        <v>57044</v>
      </c>
      <c r="C277" s="2" t="s">
        <v>295</v>
      </c>
      <c r="D277" s="2" t="s">
        <v>15</v>
      </c>
      <c r="E277" s="3">
        <f>VLOOKUP('[1]New Data'!A343,'[1]New Data'!A:H,8,0)</f>
        <v>44</v>
      </c>
      <c r="F277" s="3" t="str">
        <f>VLOOKUP('[1]New Data'!A343,'[1]New Data'!A:J,10,0)</f>
        <v>Male</v>
      </c>
      <c r="G277" s="3" t="str">
        <f>VLOOKUP('[1]New Data'!A343,'[1]New Data'!A:K,11,0)</f>
        <v>Low</v>
      </c>
      <c r="H277" s="4">
        <f>VLOOKUP('[1]New Data'!A343,'[1]New Data'!A:M,13,0)</f>
        <v>45257</v>
      </c>
      <c r="I277" s="5">
        <f>VLOOKUP('[1]New Data'!A343,'[1]New Data'!A:O,15,0)</f>
        <v>4</v>
      </c>
      <c r="J277" s="3">
        <f>VLOOKUP('[1]New Data'!A343,'[1]New Data'!A:P,16,0)</f>
        <v>214.24407059999999</v>
      </c>
      <c r="K277" s="3">
        <f>VLOOKUP('[1]New Data'!A343,'[1]New Data'!A:Q,17,0)</f>
        <v>856.97628229999998</v>
      </c>
      <c r="L277" s="3" t="str">
        <f>VLOOKUP('[1]New Data'!A277,'[1]New Data'!A:S,19,0)</f>
        <v>Electronics</v>
      </c>
      <c r="M277" s="3" t="str">
        <f>VLOOKUP('[1]New Data'!A277,'[1]New Data'!A:T,20,0)</f>
        <v>Tablet</v>
      </c>
      <c r="N277" s="5">
        <f>VLOOKUP('[1]New Data'!A343,'[1]New Data'!A:Z,25,0)</f>
        <v>3</v>
      </c>
    </row>
    <row r="278" spans="1:14" x14ac:dyDescent="0.35">
      <c r="A278" s="2">
        <v>4105287</v>
      </c>
      <c r="B278" s="2">
        <v>41336</v>
      </c>
      <c r="C278" s="2" t="s">
        <v>296</v>
      </c>
      <c r="D278" s="2" t="s">
        <v>15</v>
      </c>
      <c r="E278" s="3">
        <f>VLOOKUP('[1]New Data'!A120,'[1]New Data'!A:H,8,0)</f>
        <v>57</v>
      </c>
      <c r="F278" s="3" t="str">
        <f>VLOOKUP('[1]New Data'!A120,'[1]New Data'!A:J,10,0)</f>
        <v>Male</v>
      </c>
      <c r="G278" s="3" t="str">
        <f>VLOOKUP('[1]New Data'!A120,'[1]New Data'!A:K,11,0)</f>
        <v>Medium</v>
      </c>
      <c r="H278" s="4">
        <f>VLOOKUP('[1]New Data'!A120,'[1]New Data'!A:M,13,0)</f>
        <v>45308</v>
      </c>
      <c r="I278" s="5">
        <f>VLOOKUP('[1]New Data'!A120,'[1]New Data'!A:O,15,0)</f>
        <v>6</v>
      </c>
      <c r="J278" s="3">
        <f>VLOOKUP('[1]New Data'!A120,'[1]New Data'!A:P,16,0)</f>
        <v>141.86498399999999</v>
      </c>
      <c r="K278" s="3">
        <f>VLOOKUP('[1]New Data'!A120,'[1]New Data'!A:Q,17,0)</f>
        <v>851.18990389999999</v>
      </c>
      <c r="L278" s="3" t="str">
        <f>VLOOKUP('[1]New Data'!A278,'[1]New Data'!A:S,19,0)</f>
        <v>Home Decor</v>
      </c>
      <c r="M278" s="3" t="str">
        <f>VLOOKUP('[1]New Data'!A278,'[1]New Data'!A:T,20,0)</f>
        <v>Kitchen</v>
      </c>
      <c r="N278" s="5">
        <f>VLOOKUP('[1]New Data'!A120,'[1]New Data'!A:Z,25,0)</f>
        <v>2</v>
      </c>
    </row>
    <row r="279" spans="1:14" hidden="1" x14ac:dyDescent="0.35">
      <c r="A279" s="2">
        <v>9366120</v>
      </c>
      <c r="B279" s="2">
        <v>90603</v>
      </c>
      <c r="C279" s="2" t="s">
        <v>297</v>
      </c>
      <c r="D279" s="2" t="s">
        <v>15</v>
      </c>
      <c r="E279" s="3">
        <f>VLOOKUP('[1]New Data'!A123,'[1]New Data'!A:H,8,0)</f>
        <v>56</v>
      </c>
      <c r="F279" s="3" t="str">
        <f>VLOOKUP('[1]New Data'!A123,'[1]New Data'!A:J,10,0)</f>
        <v>Female</v>
      </c>
      <c r="G279" s="3" t="str">
        <f>VLOOKUP('[1]New Data'!A123,'[1]New Data'!A:K,11,0)</f>
        <v>High</v>
      </c>
      <c r="H279" s="4">
        <f>VLOOKUP('[1]New Data'!A123,'[1]New Data'!A:M,13,0)</f>
        <v>45004</v>
      </c>
      <c r="I279" s="5">
        <f>VLOOKUP('[1]New Data'!A123,'[1]New Data'!A:O,15,0)</f>
        <v>9</v>
      </c>
      <c r="J279" s="3">
        <f>VLOOKUP('[1]New Data'!A123,'[1]New Data'!A:P,16,0)</f>
        <v>94.332139359999999</v>
      </c>
      <c r="K279" s="3">
        <f>VLOOKUP('[1]New Data'!A123,'[1]New Data'!A:Q,17,0)</f>
        <v>848.98925429999997</v>
      </c>
      <c r="L279" s="3" t="str">
        <f>VLOOKUP('[1]New Data'!A279,'[1]New Data'!A:S,19,0)</f>
        <v>Clothing</v>
      </c>
      <c r="M279" s="3" t="str">
        <f>VLOOKUP('[1]New Data'!A279,'[1]New Data'!A:T,20,0)</f>
        <v>Shirt</v>
      </c>
      <c r="N279" s="5">
        <f>VLOOKUP('[1]New Data'!A123,'[1]New Data'!A:Z,25,0)</f>
        <v>2</v>
      </c>
    </row>
    <row r="280" spans="1:14" x14ac:dyDescent="0.35">
      <c r="A280" s="2">
        <v>9711181</v>
      </c>
      <c r="B280" s="2">
        <v>50100</v>
      </c>
      <c r="C280" s="2" t="s">
        <v>298</v>
      </c>
      <c r="D280" s="2" t="s">
        <v>15</v>
      </c>
      <c r="E280" s="3">
        <f>VLOOKUP('[1]New Data'!A81,'[1]New Data'!A:H,8,0)</f>
        <v>54</v>
      </c>
      <c r="F280" s="3" t="str">
        <f>VLOOKUP('[1]New Data'!A81,'[1]New Data'!A:J,10,0)</f>
        <v>Female</v>
      </c>
      <c r="G280" s="3" t="str">
        <f>VLOOKUP('[1]New Data'!A81,'[1]New Data'!A:K,11,0)</f>
        <v>Low</v>
      </c>
      <c r="H280" s="4">
        <f>VLOOKUP('[1]New Data'!A81,'[1]New Data'!A:M,13,0)</f>
        <v>45304</v>
      </c>
      <c r="I280" s="5">
        <f>VLOOKUP('[1]New Data'!A81,'[1]New Data'!A:O,15,0)</f>
        <v>3</v>
      </c>
      <c r="J280" s="3">
        <f>VLOOKUP('[1]New Data'!A81,'[1]New Data'!A:P,16,0)</f>
        <v>279.5816873</v>
      </c>
      <c r="K280" s="3">
        <f>VLOOKUP('[1]New Data'!A81,'[1]New Data'!A:Q,17,0)</f>
        <v>838.7450619</v>
      </c>
      <c r="L280" s="3" t="str">
        <f>VLOOKUP('[1]New Data'!A280,'[1]New Data'!A:S,19,0)</f>
        <v>Home Decor</v>
      </c>
      <c r="M280" s="3" t="str">
        <f>VLOOKUP('[1]New Data'!A280,'[1]New Data'!A:T,20,0)</f>
        <v>Tools</v>
      </c>
      <c r="N280" s="5">
        <f>VLOOKUP('[1]New Data'!A81,'[1]New Data'!A:Z,25,0)</f>
        <v>4</v>
      </c>
    </row>
    <row r="281" spans="1:14" hidden="1" x14ac:dyDescent="0.35">
      <c r="A281" s="2">
        <v>8051821</v>
      </c>
      <c r="B281" s="2">
        <v>25788</v>
      </c>
      <c r="C281" s="2" t="s">
        <v>299</v>
      </c>
      <c r="D281" s="2" t="s">
        <v>15</v>
      </c>
      <c r="E281" s="3">
        <f>VLOOKUP('[1]New Data'!A398,'[1]New Data'!A:H,8,0)</f>
        <v>36</v>
      </c>
      <c r="F281" s="3" t="str">
        <f>VLOOKUP('[1]New Data'!A398,'[1]New Data'!A:J,10,0)</f>
        <v>Male</v>
      </c>
      <c r="G281" s="3" t="str">
        <f>VLOOKUP('[1]New Data'!A398,'[1]New Data'!A:K,11,0)</f>
        <v>Medium</v>
      </c>
      <c r="H281" s="4">
        <f>VLOOKUP('[1]New Data'!A398,'[1]New Data'!A:M,13,0)</f>
        <v>45234</v>
      </c>
      <c r="I281" s="5">
        <f>VLOOKUP('[1]New Data'!A398,'[1]New Data'!A:O,15,0)</f>
        <v>5</v>
      </c>
      <c r="J281" s="3">
        <f>VLOOKUP('[1]New Data'!A398,'[1]New Data'!A:P,16,0)</f>
        <v>167.6740216</v>
      </c>
      <c r="K281" s="3">
        <f>VLOOKUP('[1]New Data'!A398,'[1]New Data'!A:Q,17,0)</f>
        <v>838.37010780000003</v>
      </c>
      <c r="L281" s="3" t="str">
        <f>VLOOKUP('[1]New Data'!A281,'[1]New Data'!A:S,19,0)</f>
        <v>Books</v>
      </c>
      <c r="M281" s="3" t="str">
        <f>VLOOKUP('[1]New Data'!A281,'[1]New Data'!A:T,20,0)</f>
        <v>Thriller</v>
      </c>
      <c r="N281" s="5">
        <f>VLOOKUP('[1]New Data'!A398,'[1]New Data'!A:Z,25,0)</f>
        <v>4</v>
      </c>
    </row>
    <row r="282" spans="1:14" hidden="1" x14ac:dyDescent="0.35">
      <c r="A282" s="2">
        <v>4058513</v>
      </c>
      <c r="B282" s="2">
        <v>57742</v>
      </c>
      <c r="C282" s="2" t="s">
        <v>300</v>
      </c>
      <c r="D282" s="2" t="s">
        <v>15</v>
      </c>
      <c r="E282" s="3">
        <f>VLOOKUP('[1]New Data'!A62,'[1]New Data'!A:H,8,0)</f>
        <v>26</v>
      </c>
      <c r="F282" s="3" t="str">
        <f>VLOOKUP('[1]New Data'!A62,'[1]New Data'!A:J,10,0)</f>
        <v>Male</v>
      </c>
      <c r="G282" s="3" t="str">
        <f>VLOOKUP('[1]New Data'!A62,'[1]New Data'!A:K,11,0)</f>
        <v>Low</v>
      </c>
      <c r="H282" s="4">
        <f>VLOOKUP('[1]New Data'!A62,'[1]New Data'!A:M,13,0)</f>
        <v>45210</v>
      </c>
      <c r="I282" s="5">
        <f>VLOOKUP('[1]New Data'!A62,'[1]New Data'!A:O,15,0)</f>
        <v>9</v>
      </c>
      <c r="J282" s="3">
        <f>VLOOKUP('[1]New Data'!A62,'[1]New Data'!A:P,16,0)</f>
        <v>93.062150500000001</v>
      </c>
      <c r="K282" s="3">
        <f>VLOOKUP('[1]New Data'!A62,'[1]New Data'!A:Q,17,0)</f>
        <v>837.55935450000004</v>
      </c>
      <c r="L282" s="3" t="str">
        <f>VLOOKUP('[1]New Data'!A282,'[1]New Data'!A:S,19,0)</f>
        <v>Grocery</v>
      </c>
      <c r="M282" s="3" t="str">
        <f>VLOOKUP('[1]New Data'!A282,'[1]New Data'!A:T,20,0)</f>
        <v>Water</v>
      </c>
      <c r="N282" s="5">
        <f>VLOOKUP('[1]New Data'!A62,'[1]New Data'!A:Z,25,0)</f>
        <v>2</v>
      </c>
    </row>
    <row r="283" spans="1:14" x14ac:dyDescent="0.35">
      <c r="A283" s="2">
        <v>4419118</v>
      </c>
      <c r="B283" s="2">
        <v>89086</v>
      </c>
      <c r="C283" s="2" t="s">
        <v>301</v>
      </c>
      <c r="D283" s="2" t="s">
        <v>15</v>
      </c>
      <c r="E283" s="3">
        <f>VLOOKUP('[1]New Data'!A227,'[1]New Data'!A:H,8,0)</f>
        <v>32</v>
      </c>
      <c r="F283" s="3" t="str">
        <f>VLOOKUP('[1]New Data'!A227,'[1]New Data'!A:J,10,0)</f>
        <v>Female</v>
      </c>
      <c r="G283" s="3" t="str">
        <f>VLOOKUP('[1]New Data'!A227,'[1]New Data'!A:K,11,0)</f>
        <v>Medium</v>
      </c>
      <c r="H283" s="4">
        <f>VLOOKUP('[1]New Data'!A227,'[1]New Data'!A:M,13,0)</f>
        <v>45013</v>
      </c>
      <c r="I283" s="5">
        <f>VLOOKUP('[1]New Data'!A227,'[1]New Data'!A:O,15,0)</f>
        <v>9</v>
      </c>
      <c r="J283" s="3">
        <f>VLOOKUP('[1]New Data'!A227,'[1]New Data'!A:P,16,0)</f>
        <v>92.612521569999998</v>
      </c>
      <c r="K283" s="3">
        <f>VLOOKUP('[1]New Data'!A227,'[1]New Data'!A:Q,17,0)</f>
        <v>833.51269409999998</v>
      </c>
      <c r="L283" s="3" t="str">
        <f>VLOOKUP('[1]New Data'!A283,'[1]New Data'!A:S,19,0)</f>
        <v>Home Decor</v>
      </c>
      <c r="M283" s="3" t="str">
        <f>VLOOKUP('[1]New Data'!A283,'[1]New Data'!A:T,20,0)</f>
        <v>Decorations</v>
      </c>
      <c r="N283" s="5">
        <f>VLOOKUP('[1]New Data'!A227,'[1]New Data'!A:Z,25,0)</f>
        <v>4</v>
      </c>
    </row>
    <row r="284" spans="1:14" hidden="1" x14ac:dyDescent="0.35">
      <c r="A284" s="2">
        <v>1748365</v>
      </c>
      <c r="B284" s="2">
        <v>67367</v>
      </c>
      <c r="C284" s="2" t="s">
        <v>302</v>
      </c>
      <c r="D284" s="2" t="s">
        <v>15</v>
      </c>
      <c r="E284" s="3">
        <f>VLOOKUP('[1]New Data'!A255,'[1]New Data'!A:H,8,0)</f>
        <v>26</v>
      </c>
      <c r="F284" s="3" t="str">
        <f>VLOOKUP('[1]New Data'!A255,'[1]New Data'!A:J,10,0)</f>
        <v>Female</v>
      </c>
      <c r="G284" s="3" t="str">
        <f>VLOOKUP('[1]New Data'!A255,'[1]New Data'!A:K,11,0)</f>
        <v>Medium</v>
      </c>
      <c r="H284" s="4">
        <f>VLOOKUP('[1]New Data'!A255,'[1]New Data'!A:M,13,0)</f>
        <v>45262</v>
      </c>
      <c r="I284" s="5">
        <f>VLOOKUP('[1]New Data'!A255,'[1]New Data'!A:O,15,0)</f>
        <v>5</v>
      </c>
      <c r="J284" s="3">
        <f>VLOOKUP('[1]New Data'!A255,'[1]New Data'!A:P,16,0)</f>
        <v>166.6772163</v>
      </c>
      <c r="K284" s="3">
        <f>VLOOKUP('[1]New Data'!A255,'[1]New Data'!A:Q,17,0)</f>
        <v>833.38608139999997</v>
      </c>
      <c r="L284" s="3" t="str">
        <f>VLOOKUP('[1]New Data'!A284,'[1]New Data'!A:S,19,0)</f>
        <v>Books</v>
      </c>
      <c r="M284" s="3" t="str">
        <f>VLOOKUP('[1]New Data'!A284,'[1]New Data'!A:T,20,0)</f>
        <v>Non-Fiction</v>
      </c>
      <c r="N284" s="5">
        <f>VLOOKUP('[1]New Data'!A255,'[1]New Data'!A:Z,25,0)</f>
        <v>4</v>
      </c>
    </row>
    <row r="285" spans="1:14" hidden="1" x14ac:dyDescent="0.35">
      <c r="A285" s="2">
        <v>7355533</v>
      </c>
      <c r="B285" s="2">
        <v>76027</v>
      </c>
      <c r="C285" s="2" t="s">
        <v>303</v>
      </c>
      <c r="D285" s="2" t="s">
        <v>15</v>
      </c>
      <c r="E285" s="3">
        <f>VLOOKUP('[1]New Data'!A339,'[1]New Data'!A:H,8,0)</f>
        <v>54</v>
      </c>
      <c r="F285" s="3" t="str">
        <f>VLOOKUP('[1]New Data'!A339,'[1]New Data'!A:J,10,0)</f>
        <v>Male</v>
      </c>
      <c r="G285" s="3" t="str">
        <f>VLOOKUP('[1]New Data'!A339,'[1]New Data'!A:K,11,0)</f>
        <v>Low</v>
      </c>
      <c r="H285" s="4">
        <f>VLOOKUP('[1]New Data'!A339,'[1]New Data'!A:M,13,0)</f>
        <v>44995</v>
      </c>
      <c r="I285" s="5">
        <f>VLOOKUP('[1]New Data'!A339,'[1]New Data'!A:O,15,0)</f>
        <v>4</v>
      </c>
      <c r="J285" s="3">
        <f>VLOOKUP('[1]New Data'!A339,'[1]New Data'!A:P,16,0)</f>
        <v>206.64326750000001</v>
      </c>
      <c r="K285" s="3">
        <f>VLOOKUP('[1]New Data'!A339,'[1]New Data'!A:Q,17,0)</f>
        <v>826.5730701</v>
      </c>
      <c r="L285" s="3" t="str">
        <f>VLOOKUP('[1]New Data'!A285,'[1]New Data'!A:S,19,0)</f>
        <v>Electronics</v>
      </c>
      <c r="M285" s="3" t="str">
        <f>VLOOKUP('[1]New Data'!A285,'[1]New Data'!A:T,20,0)</f>
        <v>Tablet</v>
      </c>
      <c r="N285" s="5">
        <f>VLOOKUP('[1]New Data'!A339,'[1]New Data'!A:Z,25,0)</f>
        <v>4</v>
      </c>
    </row>
    <row r="286" spans="1:14" hidden="1" x14ac:dyDescent="0.35">
      <c r="A286" s="2">
        <v>2060723</v>
      </c>
      <c r="B286" s="2">
        <v>97340</v>
      </c>
      <c r="C286" s="2" t="s">
        <v>304</v>
      </c>
      <c r="D286" s="2" t="s">
        <v>15</v>
      </c>
      <c r="E286" s="3">
        <f>VLOOKUP('[1]New Data'!A427,'[1]New Data'!A:H,8,0)</f>
        <v>26</v>
      </c>
      <c r="F286" s="3" t="str">
        <f>VLOOKUP('[1]New Data'!A427,'[1]New Data'!A:J,10,0)</f>
        <v>Male</v>
      </c>
      <c r="G286" s="3" t="str">
        <f>VLOOKUP('[1]New Data'!A427,'[1]New Data'!A:K,11,0)</f>
        <v>Medium</v>
      </c>
      <c r="H286" s="4">
        <f>VLOOKUP('[1]New Data'!A427,'[1]New Data'!A:M,13,0)</f>
        <v>45119</v>
      </c>
      <c r="I286" s="5">
        <f>VLOOKUP('[1]New Data'!A427,'[1]New Data'!A:O,15,0)</f>
        <v>5</v>
      </c>
      <c r="J286" s="3">
        <f>VLOOKUP('[1]New Data'!A427,'[1]New Data'!A:P,16,0)</f>
        <v>162.97372619999999</v>
      </c>
      <c r="K286" s="3">
        <f>VLOOKUP('[1]New Data'!A427,'[1]New Data'!A:Q,17,0)</f>
        <v>814.86863080000001</v>
      </c>
      <c r="L286" s="3" t="str">
        <f>VLOOKUP('[1]New Data'!A286,'[1]New Data'!A:S,19,0)</f>
        <v>Grocery</v>
      </c>
      <c r="M286" s="3" t="str">
        <f>VLOOKUP('[1]New Data'!A286,'[1]New Data'!A:T,20,0)</f>
        <v>Water</v>
      </c>
      <c r="N286" s="5">
        <f>VLOOKUP('[1]New Data'!A427,'[1]New Data'!A:Z,25,0)</f>
        <v>4</v>
      </c>
    </row>
    <row r="287" spans="1:14" hidden="1" x14ac:dyDescent="0.35">
      <c r="A287" s="2">
        <v>4480409</v>
      </c>
      <c r="B287" s="2">
        <v>74540</v>
      </c>
      <c r="C287" s="2" t="s">
        <v>305</v>
      </c>
      <c r="D287" s="2" t="s">
        <v>15</v>
      </c>
      <c r="E287" s="3">
        <f>VLOOKUP('[1]New Data'!A357,'[1]New Data'!A:H,8,0)</f>
        <v>34</v>
      </c>
      <c r="F287" s="3" t="str">
        <f>VLOOKUP('[1]New Data'!A357,'[1]New Data'!A:J,10,0)</f>
        <v>Female</v>
      </c>
      <c r="G287" s="3" t="str">
        <f>VLOOKUP('[1]New Data'!A357,'[1]New Data'!A:K,11,0)</f>
        <v>Medium</v>
      </c>
      <c r="H287" s="4">
        <f>VLOOKUP('[1]New Data'!A357,'[1]New Data'!A:M,13,0)</f>
        <v>45149</v>
      </c>
      <c r="I287" s="5">
        <f>VLOOKUP('[1]New Data'!A357,'[1]New Data'!A:O,15,0)</f>
        <v>4</v>
      </c>
      <c r="J287" s="3">
        <f>VLOOKUP('[1]New Data'!A357,'[1]New Data'!A:P,16,0)</f>
        <v>202.9103015</v>
      </c>
      <c r="K287" s="3">
        <f>VLOOKUP('[1]New Data'!A357,'[1]New Data'!A:Q,17,0)</f>
        <v>811.64120590000005</v>
      </c>
      <c r="L287" s="3" t="str">
        <f>VLOOKUP('[1]New Data'!A287,'[1]New Data'!A:S,19,0)</f>
        <v>Grocery</v>
      </c>
      <c r="M287" s="3" t="str">
        <f>VLOOKUP('[1]New Data'!A287,'[1]New Data'!A:T,20,0)</f>
        <v>Water</v>
      </c>
      <c r="N287" s="5">
        <f>VLOOKUP('[1]New Data'!A357,'[1]New Data'!A:Z,25,0)</f>
        <v>2</v>
      </c>
    </row>
    <row r="288" spans="1:14" hidden="1" x14ac:dyDescent="0.35">
      <c r="A288" s="2">
        <v>9343361</v>
      </c>
      <c r="B288" s="2">
        <v>74050</v>
      </c>
      <c r="C288" s="2" t="s">
        <v>306</v>
      </c>
      <c r="D288" s="2" t="s">
        <v>15</v>
      </c>
      <c r="E288" s="3">
        <f>VLOOKUP('[1]New Data'!A207,'[1]New Data'!A:H,8,0)</f>
        <v>52</v>
      </c>
      <c r="F288" s="3" t="str">
        <f>VLOOKUP('[1]New Data'!A207,'[1]New Data'!A:J,10,0)</f>
        <v>Male</v>
      </c>
      <c r="G288" s="3" t="str">
        <f>VLOOKUP('[1]New Data'!A207,'[1]New Data'!A:K,11,0)</f>
        <v>Low</v>
      </c>
      <c r="H288" s="4">
        <f>VLOOKUP('[1]New Data'!A207,'[1]New Data'!A:M,13,0)</f>
        <v>45184</v>
      </c>
      <c r="I288" s="5">
        <f>VLOOKUP('[1]New Data'!A207,'[1]New Data'!A:O,15,0)</f>
        <v>4</v>
      </c>
      <c r="J288" s="3">
        <f>VLOOKUP('[1]New Data'!A207,'[1]New Data'!A:P,16,0)</f>
        <v>202.8015925</v>
      </c>
      <c r="K288" s="3">
        <f>VLOOKUP('[1]New Data'!A207,'[1]New Data'!A:Q,17,0)</f>
        <v>811.20636979999995</v>
      </c>
      <c r="L288" s="3" t="str">
        <f>VLOOKUP('[1]New Data'!A288,'[1]New Data'!A:S,19,0)</f>
        <v>Electronics</v>
      </c>
      <c r="M288" s="3" t="str">
        <f>VLOOKUP('[1]New Data'!A288,'[1]New Data'!A:T,20,0)</f>
        <v>Laptop</v>
      </c>
      <c r="N288" s="5">
        <f>VLOOKUP('[1]New Data'!A207,'[1]New Data'!A:Z,25,0)</f>
        <v>1</v>
      </c>
    </row>
    <row r="289" spans="1:14" hidden="1" x14ac:dyDescent="0.35">
      <c r="A289" s="2">
        <v>6761027</v>
      </c>
      <c r="B289" s="2">
        <v>11397</v>
      </c>
      <c r="C289" s="2" t="s">
        <v>307</v>
      </c>
      <c r="D289" s="2" t="s">
        <v>15</v>
      </c>
      <c r="E289" s="3">
        <f>VLOOKUP('[1]New Data'!A66,'[1]New Data'!A:H,8,0)</f>
        <v>29</v>
      </c>
      <c r="F289" s="3" t="str">
        <f>VLOOKUP('[1]New Data'!A66,'[1]New Data'!A:J,10,0)</f>
        <v>Female</v>
      </c>
      <c r="G289" s="3" t="str">
        <f>VLOOKUP('[1]New Data'!A66,'[1]New Data'!A:K,11,0)</f>
        <v>Low</v>
      </c>
      <c r="H289" s="4">
        <f>VLOOKUP('[1]New Data'!A66,'[1]New Data'!A:M,13,0)</f>
        <v>45169</v>
      </c>
      <c r="I289" s="5">
        <f>VLOOKUP('[1]New Data'!A66,'[1]New Data'!A:O,15,0)</f>
        <v>2</v>
      </c>
      <c r="J289" s="3">
        <f>VLOOKUP('[1]New Data'!A66,'[1]New Data'!A:P,16,0)</f>
        <v>405.4487158</v>
      </c>
      <c r="K289" s="3">
        <f>VLOOKUP('[1]New Data'!A66,'[1]New Data'!A:Q,17,0)</f>
        <v>810.8974316</v>
      </c>
      <c r="L289" s="3" t="str">
        <f>VLOOKUP('[1]New Data'!A289,'[1]New Data'!A:S,19,0)</f>
        <v>Books</v>
      </c>
      <c r="M289" s="3" t="str">
        <f>VLOOKUP('[1]New Data'!A289,'[1]New Data'!A:T,20,0)</f>
        <v>Non-Fiction</v>
      </c>
      <c r="N289" s="5">
        <f>VLOOKUP('[1]New Data'!A66,'[1]New Data'!A:Z,25,0)</f>
        <v>4</v>
      </c>
    </row>
    <row r="290" spans="1:14" hidden="1" x14ac:dyDescent="0.35">
      <c r="A290" s="2">
        <v>9534452</v>
      </c>
      <c r="B290" s="2">
        <v>20500</v>
      </c>
      <c r="C290" s="2" t="s">
        <v>308</v>
      </c>
      <c r="D290" s="2" t="s">
        <v>15</v>
      </c>
      <c r="E290" s="3">
        <f>VLOOKUP('[1]New Data'!A74,'[1]New Data'!A:H,8,0)</f>
        <v>61</v>
      </c>
      <c r="F290" s="3" t="str">
        <f>VLOOKUP('[1]New Data'!A74,'[1]New Data'!A:J,10,0)</f>
        <v>Female</v>
      </c>
      <c r="G290" s="3" t="str">
        <f>VLOOKUP('[1]New Data'!A74,'[1]New Data'!A:K,11,0)</f>
        <v>Medium</v>
      </c>
      <c r="H290" s="4">
        <f>VLOOKUP('[1]New Data'!A74,'[1]New Data'!A:M,13,0)</f>
        <v>45083</v>
      </c>
      <c r="I290" s="5">
        <f>VLOOKUP('[1]New Data'!A74,'[1]New Data'!A:O,15,0)</f>
        <v>4</v>
      </c>
      <c r="J290" s="3">
        <f>VLOOKUP('[1]New Data'!A74,'[1]New Data'!A:P,16,0)</f>
        <v>201.95373480000001</v>
      </c>
      <c r="K290" s="3">
        <f>VLOOKUP('[1]New Data'!A74,'[1]New Data'!A:Q,17,0)</f>
        <v>807.81493920000003</v>
      </c>
      <c r="L290" s="3" t="str">
        <f>VLOOKUP('[1]New Data'!A290,'[1]New Data'!A:S,19,0)</f>
        <v>Grocery</v>
      </c>
      <c r="M290" s="3" t="str">
        <f>VLOOKUP('[1]New Data'!A290,'[1]New Data'!A:T,20,0)</f>
        <v>Juice</v>
      </c>
      <c r="N290" s="5">
        <f>VLOOKUP('[1]New Data'!A74,'[1]New Data'!A:Z,25,0)</f>
        <v>2</v>
      </c>
    </row>
    <row r="291" spans="1:14" hidden="1" x14ac:dyDescent="0.35">
      <c r="A291" s="2">
        <v>2174773</v>
      </c>
      <c r="B291" s="2">
        <v>69749</v>
      </c>
      <c r="C291" s="2" t="s">
        <v>309</v>
      </c>
      <c r="D291" s="2" t="s">
        <v>310</v>
      </c>
      <c r="E291" s="3">
        <f>VLOOKUP('[1]New Data'!A3,'[1]New Data'!A:H,8,0)</f>
        <v>19</v>
      </c>
      <c r="F291" s="3" t="str">
        <f>VLOOKUP('[1]New Data'!A3,'[1]New Data'!A:J,10,0)</f>
        <v>Female</v>
      </c>
      <c r="G291" s="3" t="str">
        <f>VLOOKUP('[1]New Data'!A3,'[1]New Data'!A:K,11,0)</f>
        <v>Low</v>
      </c>
      <c r="H291" s="4">
        <f>VLOOKUP('[1]New Data'!A3,'[1]New Data'!A:M,13,0)</f>
        <v>45291</v>
      </c>
      <c r="I291" s="5">
        <f>VLOOKUP('[1]New Data'!A3,'[1]New Data'!A:O,15,0)</f>
        <v>2</v>
      </c>
      <c r="J291" s="3">
        <f>VLOOKUP('[1]New Data'!A3,'[1]New Data'!A:P,16,0)</f>
        <v>403.3539073</v>
      </c>
      <c r="K291" s="3">
        <f>VLOOKUP('[1]New Data'!A3,'[1]New Data'!A:Q,17,0)</f>
        <v>806.70781469999997</v>
      </c>
      <c r="L291" s="3" t="str">
        <f>VLOOKUP('[1]New Data'!A291,'[1]New Data'!A:S,19,0)</f>
        <v>Clothing</v>
      </c>
      <c r="M291" s="3" t="str">
        <f>VLOOKUP('[1]New Data'!A291,'[1]New Data'!A:T,20,0)</f>
        <v>Jacket</v>
      </c>
      <c r="N291" s="5">
        <f>VLOOKUP('[1]New Data'!A3,'[1]New Data'!A:Z,25,0)</f>
        <v>4</v>
      </c>
    </row>
    <row r="292" spans="1:14" hidden="1" x14ac:dyDescent="0.35">
      <c r="A292" s="2">
        <v>2885243</v>
      </c>
      <c r="B292" s="2">
        <v>13256</v>
      </c>
      <c r="C292" s="2" t="s">
        <v>311</v>
      </c>
      <c r="D292" s="2" t="s">
        <v>15</v>
      </c>
      <c r="E292" s="3">
        <f>VLOOKUP('[1]New Data'!A229,'[1]New Data'!A:H,8,0)</f>
        <v>18</v>
      </c>
      <c r="F292" s="3" t="str">
        <f>VLOOKUP('[1]New Data'!A229,'[1]New Data'!A:J,10,0)</f>
        <v>Male</v>
      </c>
      <c r="G292" s="3" t="str">
        <f>VLOOKUP('[1]New Data'!A229,'[1]New Data'!A:K,11,0)</f>
        <v>Medium</v>
      </c>
      <c r="H292" s="4">
        <f>VLOOKUP('[1]New Data'!A229,'[1]New Data'!A:M,13,0)</f>
        <v>45109</v>
      </c>
      <c r="I292" s="5">
        <f>VLOOKUP('[1]New Data'!A229,'[1]New Data'!A:O,15,0)</f>
        <v>5</v>
      </c>
      <c r="J292" s="3">
        <f>VLOOKUP('[1]New Data'!A229,'[1]New Data'!A:P,16,0)</f>
        <v>160.81978470000001</v>
      </c>
      <c r="K292" s="3">
        <f>VLOOKUP('[1]New Data'!A229,'[1]New Data'!A:Q,17,0)</f>
        <v>804.09892349999996</v>
      </c>
      <c r="L292" s="3" t="str">
        <f>VLOOKUP('[1]New Data'!A292,'[1]New Data'!A:S,19,0)</f>
        <v>Electronics</v>
      </c>
      <c r="M292" s="3" t="str">
        <f>VLOOKUP('[1]New Data'!A292,'[1]New Data'!A:T,20,0)</f>
        <v>Television</v>
      </c>
      <c r="N292" s="5">
        <f>VLOOKUP('[1]New Data'!A229,'[1]New Data'!A:Z,25,0)</f>
        <v>1</v>
      </c>
    </row>
    <row r="293" spans="1:14" x14ac:dyDescent="0.35">
      <c r="A293" s="2">
        <v>8871554</v>
      </c>
      <c r="B293" s="2">
        <v>63914</v>
      </c>
      <c r="C293" s="2" t="s">
        <v>312</v>
      </c>
      <c r="D293" s="2" t="s">
        <v>15</v>
      </c>
      <c r="E293" s="3">
        <f>VLOOKUP('[1]New Data'!A23,'[1]New Data'!A:H,8,0)</f>
        <v>61</v>
      </c>
      <c r="F293" s="3" t="str">
        <f>VLOOKUP('[1]New Data'!A23,'[1]New Data'!A:J,10,0)</f>
        <v>Male</v>
      </c>
      <c r="G293" s="3" t="str">
        <f>VLOOKUP('[1]New Data'!A23,'[1]New Data'!A:K,11,0)</f>
        <v>High</v>
      </c>
      <c r="H293" s="4">
        <f>VLOOKUP('[1]New Data'!A23,'[1]New Data'!A:M,13,0)</f>
        <v>45144</v>
      </c>
      <c r="I293" s="5">
        <f>VLOOKUP('[1]New Data'!A23,'[1]New Data'!A:O,15,0)</f>
        <v>4</v>
      </c>
      <c r="J293" s="3">
        <f>VLOOKUP('[1]New Data'!A23,'[1]New Data'!A:P,16,0)</f>
        <v>200.28712820000001</v>
      </c>
      <c r="K293" s="3">
        <f>VLOOKUP('[1]New Data'!A23,'[1]New Data'!A:Q,17,0)</f>
        <v>801.14851280000005</v>
      </c>
      <c r="L293" s="3" t="str">
        <f>VLOOKUP('[1]New Data'!A293,'[1]New Data'!A:S,19,0)</f>
        <v>Home Decor</v>
      </c>
      <c r="M293" s="3" t="str">
        <f>VLOOKUP('[1]New Data'!A293,'[1]New Data'!A:T,20,0)</f>
        <v>Bedding</v>
      </c>
      <c r="N293" s="5">
        <f>VLOOKUP('[1]New Data'!A23,'[1]New Data'!A:Z,25,0)</f>
        <v>2</v>
      </c>
    </row>
    <row r="294" spans="1:14" hidden="1" x14ac:dyDescent="0.35">
      <c r="A294" s="2">
        <v>9250956</v>
      </c>
      <c r="B294" s="2">
        <v>73450</v>
      </c>
      <c r="C294" s="2" t="s">
        <v>313</v>
      </c>
      <c r="D294" s="2" t="s">
        <v>15</v>
      </c>
      <c r="E294" s="3">
        <f>VLOOKUP('[1]New Data'!A191,'[1]New Data'!A:H,8,0)</f>
        <v>36</v>
      </c>
      <c r="F294" s="3" t="str">
        <f>VLOOKUP('[1]New Data'!A191,'[1]New Data'!A:J,10,0)</f>
        <v>Female</v>
      </c>
      <c r="G294" s="3" t="str">
        <f>VLOOKUP('[1]New Data'!A191,'[1]New Data'!A:K,11,0)</f>
        <v>Medium</v>
      </c>
      <c r="H294" s="4">
        <f>VLOOKUP('[1]New Data'!A191,'[1]New Data'!A:M,13,0)</f>
        <v>45302</v>
      </c>
      <c r="I294" s="5">
        <f>VLOOKUP('[1]New Data'!A191,'[1]New Data'!A:O,15,0)</f>
        <v>8</v>
      </c>
      <c r="J294" s="3">
        <f>VLOOKUP('[1]New Data'!A191,'[1]New Data'!A:P,16,0)</f>
        <v>98.068329969999994</v>
      </c>
      <c r="K294" s="3">
        <f>VLOOKUP('[1]New Data'!A191,'[1]New Data'!A:Q,17,0)</f>
        <v>784.54663970000001</v>
      </c>
      <c r="L294" s="3" t="str">
        <f>VLOOKUP('[1]New Data'!A294,'[1]New Data'!A:S,19,0)</f>
        <v>Electronics</v>
      </c>
      <c r="M294" s="3" t="str">
        <f>VLOOKUP('[1]New Data'!A294,'[1]New Data'!A:T,20,0)</f>
        <v>Smartphone</v>
      </c>
      <c r="N294" s="5">
        <f>VLOOKUP('[1]New Data'!A191,'[1]New Data'!A:Z,25,0)</f>
        <v>4</v>
      </c>
    </row>
    <row r="295" spans="1:14" hidden="1" x14ac:dyDescent="0.35">
      <c r="A295" s="2">
        <v>4281916</v>
      </c>
      <c r="B295" s="2">
        <v>24134</v>
      </c>
      <c r="C295" s="2" t="s">
        <v>314</v>
      </c>
      <c r="D295" s="2" t="s">
        <v>15</v>
      </c>
      <c r="E295" s="3">
        <f>VLOOKUP('[1]New Data'!A210,'[1]New Data'!A:H,8,0)</f>
        <v>29</v>
      </c>
      <c r="F295" s="3" t="str">
        <f>VLOOKUP('[1]New Data'!A210,'[1]New Data'!A:J,10,0)</f>
        <v>Male</v>
      </c>
      <c r="G295" s="3" t="str">
        <f>VLOOKUP('[1]New Data'!A210,'[1]New Data'!A:K,11,0)</f>
        <v>Low</v>
      </c>
      <c r="H295" s="4">
        <f>VLOOKUP('[1]New Data'!A210,'[1]New Data'!A:M,13,0)</f>
        <v>45053</v>
      </c>
      <c r="I295" s="5">
        <f>VLOOKUP('[1]New Data'!A210,'[1]New Data'!A:O,15,0)</f>
        <v>9</v>
      </c>
      <c r="J295" s="3">
        <f>VLOOKUP('[1]New Data'!A210,'[1]New Data'!A:P,16,0)</f>
        <v>87.041128069999999</v>
      </c>
      <c r="K295" s="3">
        <f>VLOOKUP('[1]New Data'!A210,'[1]New Data'!A:Q,17,0)</f>
        <v>783.37015259999998</v>
      </c>
      <c r="L295" s="3" t="str">
        <f>VLOOKUP('[1]New Data'!A295,'[1]New Data'!A:S,19,0)</f>
        <v>Clothing</v>
      </c>
      <c r="M295" s="3" t="str">
        <f>VLOOKUP('[1]New Data'!A295,'[1]New Data'!A:T,20,0)</f>
        <v>T-shirt</v>
      </c>
      <c r="N295" s="5">
        <f>VLOOKUP('[1]New Data'!A210,'[1]New Data'!A:Z,25,0)</f>
        <v>4</v>
      </c>
    </row>
    <row r="296" spans="1:14" hidden="1" x14ac:dyDescent="0.35">
      <c r="A296" s="2">
        <v>5707272</v>
      </c>
      <c r="B296" s="2">
        <v>15992</v>
      </c>
      <c r="C296" s="2" t="s">
        <v>315</v>
      </c>
      <c r="D296" s="2" t="s">
        <v>15</v>
      </c>
      <c r="E296" s="3">
        <f>VLOOKUP('[1]New Data'!A388,'[1]New Data'!A:H,8,0)</f>
        <v>48</v>
      </c>
      <c r="F296" s="3" t="str">
        <f>VLOOKUP('[1]New Data'!A388,'[1]New Data'!A:J,10,0)</f>
        <v>Male</v>
      </c>
      <c r="G296" s="3" t="str">
        <f>VLOOKUP('[1]New Data'!A388,'[1]New Data'!A:K,11,0)</f>
        <v>High</v>
      </c>
      <c r="H296" s="4">
        <f>VLOOKUP('[1]New Data'!A388,'[1]New Data'!A:M,13,0)</f>
        <v>45022</v>
      </c>
      <c r="I296" s="5">
        <f>VLOOKUP('[1]New Data'!A388,'[1]New Data'!A:O,15,0)</f>
        <v>4</v>
      </c>
      <c r="J296" s="3">
        <f>VLOOKUP('[1]New Data'!A388,'[1]New Data'!A:P,16,0)</f>
        <v>195.2749455</v>
      </c>
      <c r="K296" s="3">
        <f>VLOOKUP('[1]New Data'!A388,'[1]New Data'!A:Q,17,0)</f>
        <v>781.099782</v>
      </c>
      <c r="L296" s="3" t="str">
        <f>VLOOKUP('[1]New Data'!A296,'[1]New Data'!A:S,19,0)</f>
        <v>Books</v>
      </c>
      <c r="M296" s="3" t="str">
        <f>VLOOKUP('[1]New Data'!A296,'[1]New Data'!A:T,20,0)</f>
        <v>Non-Fiction</v>
      </c>
      <c r="N296" s="5">
        <f>VLOOKUP('[1]New Data'!A388,'[1]New Data'!A:Z,25,0)</f>
        <v>1</v>
      </c>
    </row>
    <row r="297" spans="1:14" x14ac:dyDescent="0.35">
      <c r="A297" s="2">
        <v>9719734</v>
      </c>
      <c r="B297" s="2">
        <v>95531</v>
      </c>
      <c r="C297" s="2" t="s">
        <v>316</v>
      </c>
      <c r="D297" s="2" t="s">
        <v>15</v>
      </c>
      <c r="E297" s="3">
        <f>VLOOKUP('[1]New Data'!A263,'[1]New Data'!A:H,8,0)</f>
        <v>43</v>
      </c>
      <c r="F297" s="3" t="str">
        <f>VLOOKUP('[1]New Data'!A263,'[1]New Data'!A:J,10,0)</f>
        <v>Female</v>
      </c>
      <c r="G297" s="3" t="str">
        <f>VLOOKUP('[1]New Data'!A263,'[1]New Data'!A:K,11,0)</f>
        <v>Low</v>
      </c>
      <c r="H297" s="4">
        <f>VLOOKUP('[1]New Data'!A263,'[1]New Data'!A:M,13,0)</f>
        <v>45012</v>
      </c>
      <c r="I297" s="5">
        <f>VLOOKUP('[1]New Data'!A263,'[1]New Data'!A:O,15,0)</f>
        <v>5</v>
      </c>
      <c r="J297" s="3">
        <f>VLOOKUP('[1]New Data'!A263,'[1]New Data'!A:P,16,0)</f>
        <v>154.45325510000001</v>
      </c>
      <c r="K297" s="3">
        <f>VLOOKUP('[1]New Data'!A263,'[1]New Data'!A:Q,17,0)</f>
        <v>772.26627559999997</v>
      </c>
      <c r="L297" s="3" t="str">
        <f>VLOOKUP('[1]New Data'!A297,'[1]New Data'!A:S,19,0)</f>
        <v>Home Decor</v>
      </c>
      <c r="M297" s="3" t="str">
        <f>VLOOKUP('[1]New Data'!A297,'[1]New Data'!A:T,20,0)</f>
        <v>Bathroom</v>
      </c>
      <c r="N297" s="5">
        <f>VLOOKUP('[1]New Data'!A263,'[1]New Data'!A:Z,25,0)</f>
        <v>2</v>
      </c>
    </row>
    <row r="298" spans="1:14" hidden="1" x14ac:dyDescent="0.35">
      <c r="A298" s="2">
        <v>5004469</v>
      </c>
      <c r="B298" s="2">
        <v>89926</v>
      </c>
      <c r="C298" s="2" t="s">
        <v>317</v>
      </c>
      <c r="D298" s="2" t="s">
        <v>15</v>
      </c>
      <c r="E298" s="3">
        <f>VLOOKUP('[1]New Data'!A332,'[1]New Data'!A:H,8,0)</f>
        <v>70</v>
      </c>
      <c r="F298" s="3" t="str">
        <f>VLOOKUP('[1]New Data'!A332,'[1]New Data'!A:J,10,0)</f>
        <v>Female</v>
      </c>
      <c r="G298" s="3" t="str">
        <f>VLOOKUP('[1]New Data'!A332,'[1]New Data'!A:K,11,0)</f>
        <v>Low</v>
      </c>
      <c r="H298" s="4">
        <f>VLOOKUP('[1]New Data'!A332,'[1]New Data'!A:M,13,0)</f>
        <v>45168</v>
      </c>
      <c r="I298" s="5">
        <f>VLOOKUP('[1]New Data'!A332,'[1]New Data'!A:O,15,0)</f>
        <v>6</v>
      </c>
      <c r="J298" s="3">
        <f>VLOOKUP('[1]New Data'!A332,'[1]New Data'!A:P,16,0)</f>
        <v>127.0050918</v>
      </c>
      <c r="K298" s="3">
        <f>VLOOKUP('[1]New Data'!A332,'[1]New Data'!A:Q,17,0)</f>
        <v>762.03055089999998</v>
      </c>
      <c r="L298" s="3" t="str">
        <f>VLOOKUP('[1]New Data'!A298,'[1]New Data'!A:S,19,0)</f>
        <v>Electronics</v>
      </c>
      <c r="M298" s="3" t="str">
        <f>VLOOKUP('[1]New Data'!A298,'[1]New Data'!A:T,20,0)</f>
        <v>Headphones</v>
      </c>
      <c r="N298" s="5">
        <f>VLOOKUP('[1]New Data'!A332,'[1]New Data'!A:Z,25,0)</f>
        <v>4</v>
      </c>
    </row>
    <row r="299" spans="1:14" hidden="1" x14ac:dyDescent="0.35">
      <c r="A299" s="2">
        <v>1886587</v>
      </c>
      <c r="B299" s="2">
        <v>93886</v>
      </c>
      <c r="C299" s="2" t="s">
        <v>318</v>
      </c>
      <c r="D299" s="2" t="s">
        <v>15</v>
      </c>
      <c r="E299" s="3">
        <f>VLOOKUP('[1]New Data'!A289,'[1]New Data'!A:H,8,0)</f>
        <v>43</v>
      </c>
      <c r="F299" s="3" t="str">
        <f>VLOOKUP('[1]New Data'!A289,'[1]New Data'!A:J,10,0)</f>
        <v>Female</v>
      </c>
      <c r="G299" s="3" t="str">
        <f>VLOOKUP('[1]New Data'!A289,'[1]New Data'!A:K,11,0)</f>
        <v>Low</v>
      </c>
      <c r="H299" s="4">
        <f>VLOOKUP('[1]New Data'!A289,'[1]New Data'!A:M,13,0)</f>
        <v>45081</v>
      </c>
      <c r="I299" s="5">
        <f>VLOOKUP('[1]New Data'!A289,'[1]New Data'!A:O,15,0)</f>
        <v>3</v>
      </c>
      <c r="J299" s="3">
        <f>VLOOKUP('[1]New Data'!A289,'[1]New Data'!A:P,16,0)</f>
        <v>250.21699050000001</v>
      </c>
      <c r="K299" s="3">
        <f>VLOOKUP('[1]New Data'!A289,'[1]New Data'!A:Q,17,0)</f>
        <v>750.65097149999997</v>
      </c>
      <c r="L299" s="3" t="str">
        <f>VLOOKUP('[1]New Data'!A299,'[1]New Data'!A:S,19,0)</f>
        <v>Books</v>
      </c>
      <c r="M299" s="3" t="str">
        <f>VLOOKUP('[1]New Data'!A299,'[1]New Data'!A:T,20,0)</f>
        <v>Fiction</v>
      </c>
      <c r="N299" s="5">
        <f>VLOOKUP('[1]New Data'!A289,'[1]New Data'!A:Z,25,0)</f>
        <v>4</v>
      </c>
    </row>
    <row r="300" spans="1:14" x14ac:dyDescent="0.35">
      <c r="A300" s="2">
        <v>6665538</v>
      </c>
      <c r="B300" s="2">
        <v>49922</v>
      </c>
      <c r="C300" s="2" t="s">
        <v>319</v>
      </c>
      <c r="D300" s="2" t="s">
        <v>15</v>
      </c>
      <c r="E300" s="3">
        <f>VLOOKUP('[1]New Data'!A240,'[1]New Data'!A:H,8,0)</f>
        <v>26</v>
      </c>
      <c r="F300" s="3" t="str">
        <f>VLOOKUP('[1]New Data'!A240,'[1]New Data'!A:J,10,0)</f>
        <v>Male</v>
      </c>
      <c r="G300" s="3" t="str">
        <f>VLOOKUP('[1]New Data'!A240,'[1]New Data'!A:K,11,0)</f>
        <v>Medium</v>
      </c>
      <c r="H300" s="4">
        <f>VLOOKUP('[1]New Data'!A240,'[1]New Data'!A:M,13,0)</f>
        <v>45034</v>
      </c>
      <c r="I300" s="5">
        <f>VLOOKUP('[1]New Data'!A240,'[1]New Data'!A:O,15,0)</f>
        <v>2</v>
      </c>
      <c r="J300" s="3">
        <f>VLOOKUP('[1]New Data'!A240,'[1]New Data'!A:P,16,0)</f>
        <v>375.18939369999998</v>
      </c>
      <c r="K300" s="3">
        <f>VLOOKUP('[1]New Data'!A240,'[1]New Data'!A:Q,17,0)</f>
        <v>750.37878750000004</v>
      </c>
      <c r="L300" s="3" t="str">
        <f>VLOOKUP('[1]New Data'!A300,'[1]New Data'!A:S,19,0)</f>
        <v>Home Decor</v>
      </c>
      <c r="M300" s="3" t="str">
        <f>VLOOKUP('[1]New Data'!A300,'[1]New Data'!A:T,20,0)</f>
        <v>Decorations</v>
      </c>
      <c r="N300" s="5">
        <f>VLOOKUP('[1]New Data'!A240,'[1]New Data'!A:Z,25,0)</f>
        <v>1</v>
      </c>
    </row>
    <row r="301" spans="1:14" hidden="1" x14ac:dyDescent="0.35">
      <c r="A301" s="2">
        <v>9202969</v>
      </c>
      <c r="B301" s="2">
        <v>35966</v>
      </c>
      <c r="C301" s="2" t="s">
        <v>320</v>
      </c>
      <c r="D301" s="2" t="s">
        <v>15</v>
      </c>
      <c r="E301" s="3">
        <f>VLOOKUP('[1]New Data'!A67,'[1]New Data'!A:H,8,0)</f>
        <v>69</v>
      </c>
      <c r="F301" s="3" t="str">
        <f>VLOOKUP('[1]New Data'!A67,'[1]New Data'!A:J,10,0)</f>
        <v>Male</v>
      </c>
      <c r="G301" s="3" t="str">
        <f>VLOOKUP('[1]New Data'!A67,'[1]New Data'!A:K,11,0)</f>
        <v>Low</v>
      </c>
      <c r="H301" s="4">
        <f>VLOOKUP('[1]New Data'!A67,'[1]New Data'!A:M,13,0)</f>
        <v>45342</v>
      </c>
      <c r="I301" s="5">
        <f>VLOOKUP('[1]New Data'!A67,'[1]New Data'!A:O,15,0)</f>
        <v>4</v>
      </c>
      <c r="J301" s="3">
        <f>VLOOKUP('[1]New Data'!A67,'[1]New Data'!A:P,16,0)</f>
        <v>187.09260259999999</v>
      </c>
      <c r="K301" s="3">
        <f>VLOOKUP('[1]New Data'!A67,'[1]New Data'!A:Q,17,0)</f>
        <v>748.37041050000005</v>
      </c>
      <c r="L301" s="3" t="str">
        <f>VLOOKUP('[1]New Data'!A301,'[1]New Data'!A:S,19,0)</f>
        <v>Clothing</v>
      </c>
      <c r="M301" s="3" t="str">
        <f>VLOOKUP('[1]New Data'!A301,'[1]New Data'!A:T,20,0)</f>
        <v>Jeans</v>
      </c>
      <c r="N301" s="5">
        <f>VLOOKUP('[1]New Data'!A67,'[1]New Data'!A:Z,25,0)</f>
        <v>1</v>
      </c>
    </row>
    <row r="302" spans="1:14" hidden="1" x14ac:dyDescent="0.35">
      <c r="A302" s="2">
        <v>6353946</v>
      </c>
      <c r="B302" s="2">
        <v>39757</v>
      </c>
      <c r="C302" s="2" t="s">
        <v>321</v>
      </c>
      <c r="D302" s="2" t="s">
        <v>15</v>
      </c>
      <c r="E302" s="3">
        <f>VLOOKUP('[1]New Data'!A49,'[1]New Data'!A:H,8,0)</f>
        <v>27</v>
      </c>
      <c r="F302" s="3" t="str">
        <f>VLOOKUP('[1]New Data'!A49,'[1]New Data'!A:J,10,0)</f>
        <v>Female</v>
      </c>
      <c r="G302" s="3" t="str">
        <f>VLOOKUP('[1]New Data'!A49,'[1]New Data'!A:K,11,0)</f>
        <v>Medium</v>
      </c>
      <c r="H302" s="4">
        <f>VLOOKUP('[1]New Data'!A49,'[1]New Data'!A:M,13,0)</f>
        <v>45123</v>
      </c>
      <c r="I302" s="5">
        <f>VLOOKUP('[1]New Data'!A49,'[1]New Data'!A:O,15,0)</f>
        <v>8</v>
      </c>
      <c r="J302" s="3">
        <f>VLOOKUP('[1]New Data'!A49,'[1]New Data'!A:P,16,0)</f>
        <v>93.004218839999993</v>
      </c>
      <c r="K302" s="3">
        <f>VLOOKUP('[1]New Data'!A49,'[1]New Data'!A:Q,17,0)</f>
        <v>744.03375070000004</v>
      </c>
      <c r="L302" s="3" t="str">
        <f>VLOOKUP('[1]New Data'!A302,'[1]New Data'!A:S,19,0)</f>
        <v>Clothing</v>
      </c>
      <c r="M302" s="3" t="str">
        <f>VLOOKUP('[1]New Data'!A302,'[1]New Data'!A:T,20,0)</f>
        <v>T-shirt</v>
      </c>
      <c r="N302" s="5">
        <f>VLOOKUP('[1]New Data'!A49,'[1]New Data'!A:Z,25,0)</f>
        <v>3</v>
      </c>
    </row>
    <row r="303" spans="1:14" hidden="1" x14ac:dyDescent="0.35">
      <c r="A303" s="2">
        <v>3139836</v>
      </c>
      <c r="B303" s="2">
        <v>38486</v>
      </c>
      <c r="C303" s="2" t="s">
        <v>322</v>
      </c>
      <c r="D303" s="2" t="s">
        <v>15</v>
      </c>
      <c r="E303" s="3">
        <f>VLOOKUP('[1]New Data'!A386,'[1]New Data'!A:H,8,0)</f>
        <v>31</v>
      </c>
      <c r="F303" s="3" t="str">
        <f>VLOOKUP('[1]New Data'!A386,'[1]New Data'!A:J,10,0)</f>
        <v>Female</v>
      </c>
      <c r="G303" s="3" t="str">
        <f>VLOOKUP('[1]New Data'!A386,'[1]New Data'!A:K,11,0)</f>
        <v>Medium</v>
      </c>
      <c r="H303" s="4">
        <f>VLOOKUP('[1]New Data'!A386,'[1]New Data'!A:M,13,0)</f>
        <v>45237</v>
      </c>
      <c r="I303" s="5">
        <f>VLOOKUP('[1]New Data'!A386,'[1]New Data'!A:O,15,0)</f>
        <v>6</v>
      </c>
      <c r="J303" s="3">
        <f>VLOOKUP('[1]New Data'!A386,'[1]New Data'!A:P,16,0)</f>
        <v>123.6168965</v>
      </c>
      <c r="K303" s="3">
        <f>VLOOKUP('[1]New Data'!A386,'[1]New Data'!A:Q,17,0)</f>
        <v>741.70137910000005</v>
      </c>
      <c r="L303" s="3" t="str">
        <f>VLOOKUP('[1]New Data'!A303,'[1]New Data'!A:S,19,0)</f>
        <v>Books</v>
      </c>
      <c r="M303" s="3" t="str">
        <f>VLOOKUP('[1]New Data'!A303,'[1]New Data'!A:T,20,0)</f>
        <v>Non-Fiction</v>
      </c>
      <c r="N303" s="5">
        <f>VLOOKUP('[1]New Data'!A386,'[1]New Data'!A:Z,25,0)</f>
        <v>2</v>
      </c>
    </row>
    <row r="304" spans="1:14" hidden="1" x14ac:dyDescent="0.35">
      <c r="A304" s="2">
        <v>5166565</v>
      </c>
      <c r="B304" s="2">
        <v>51279</v>
      </c>
      <c r="C304" s="2" t="s">
        <v>323</v>
      </c>
      <c r="D304" s="2" t="s">
        <v>15</v>
      </c>
      <c r="E304" s="3">
        <f>VLOOKUP('[1]New Data'!A97,'[1]New Data'!A:H,8,0)</f>
        <v>60</v>
      </c>
      <c r="F304" s="3" t="str">
        <f>VLOOKUP('[1]New Data'!A97,'[1]New Data'!A:J,10,0)</f>
        <v>Male</v>
      </c>
      <c r="G304" s="3" t="str">
        <f>VLOOKUP('[1]New Data'!A97,'[1]New Data'!A:K,11,0)</f>
        <v>Low</v>
      </c>
      <c r="H304" s="4">
        <f>VLOOKUP('[1]New Data'!A97,'[1]New Data'!A:M,13,0)</f>
        <v>45281</v>
      </c>
      <c r="I304" s="5">
        <f>VLOOKUP('[1]New Data'!A97,'[1]New Data'!A:O,15,0)</f>
        <v>4</v>
      </c>
      <c r="J304" s="3">
        <f>VLOOKUP('[1]New Data'!A97,'[1]New Data'!A:P,16,0)</f>
        <v>183.7086333</v>
      </c>
      <c r="K304" s="3">
        <f>VLOOKUP('[1]New Data'!A97,'[1]New Data'!A:Q,17,0)</f>
        <v>734.83453310000004</v>
      </c>
      <c r="L304" s="3" t="str">
        <f>VLOOKUP('[1]New Data'!A304,'[1]New Data'!A:S,19,0)</f>
        <v>Grocery</v>
      </c>
      <c r="M304" s="3" t="str">
        <f>VLOOKUP('[1]New Data'!A304,'[1]New Data'!A:T,20,0)</f>
        <v>Soft Drink</v>
      </c>
      <c r="N304" s="5">
        <f>VLOOKUP('[1]New Data'!A97,'[1]New Data'!A:Z,25,0)</f>
        <v>3</v>
      </c>
    </row>
    <row r="305" spans="1:14" hidden="1" x14ac:dyDescent="0.35">
      <c r="A305" s="2">
        <v>1363299</v>
      </c>
      <c r="B305" s="2">
        <v>28607</v>
      </c>
      <c r="C305" s="2" t="s">
        <v>324</v>
      </c>
      <c r="D305" s="2" t="s">
        <v>15</v>
      </c>
      <c r="E305" s="3">
        <f>VLOOKUP('[1]New Data'!A358,'[1]New Data'!A:H,8,0)</f>
        <v>60</v>
      </c>
      <c r="F305" s="3" t="str">
        <f>VLOOKUP('[1]New Data'!A358,'[1]New Data'!A:J,10,0)</f>
        <v>Male</v>
      </c>
      <c r="G305" s="3" t="str">
        <f>VLOOKUP('[1]New Data'!A358,'[1]New Data'!A:K,11,0)</f>
        <v>Medium</v>
      </c>
      <c r="H305" s="4">
        <f>VLOOKUP('[1]New Data'!A358,'[1]New Data'!A:M,13,0)</f>
        <v>45000</v>
      </c>
      <c r="I305" s="5">
        <f>VLOOKUP('[1]New Data'!A358,'[1]New Data'!A:O,15,0)</f>
        <v>2</v>
      </c>
      <c r="J305" s="3">
        <f>VLOOKUP('[1]New Data'!A358,'[1]New Data'!A:P,16,0)</f>
        <v>365.80532940000001</v>
      </c>
      <c r="K305" s="3">
        <f>VLOOKUP('[1]New Data'!A358,'[1]New Data'!A:Q,17,0)</f>
        <v>731.61065870000004</v>
      </c>
      <c r="L305" s="3" t="str">
        <f>VLOOKUP('[1]New Data'!A305,'[1]New Data'!A:S,19,0)</f>
        <v>Books</v>
      </c>
      <c r="M305" s="3" t="str">
        <f>VLOOKUP('[1]New Data'!A305,'[1]New Data'!A:T,20,0)</f>
        <v>Children's</v>
      </c>
      <c r="N305" s="5">
        <f>VLOOKUP('[1]New Data'!A358,'[1]New Data'!A:Z,25,0)</f>
        <v>4</v>
      </c>
    </row>
    <row r="306" spans="1:14" hidden="1" x14ac:dyDescent="0.35">
      <c r="A306" s="2">
        <v>3326402</v>
      </c>
      <c r="B306" s="2">
        <v>67949</v>
      </c>
      <c r="C306" s="2" t="s">
        <v>325</v>
      </c>
      <c r="D306" s="2" t="s">
        <v>15</v>
      </c>
      <c r="E306" s="3">
        <f>VLOOKUP('[1]New Data'!A103,'[1]New Data'!A:H,8,0)</f>
        <v>54</v>
      </c>
      <c r="F306" s="3" t="str">
        <f>VLOOKUP('[1]New Data'!A103,'[1]New Data'!A:J,10,0)</f>
        <v>Male</v>
      </c>
      <c r="G306" s="3" t="str">
        <f>VLOOKUP('[1]New Data'!A103,'[1]New Data'!A:K,11,0)</f>
        <v>Medium</v>
      </c>
      <c r="H306" s="4">
        <f>VLOOKUP('[1]New Data'!A103,'[1]New Data'!A:M,13,0)</f>
        <v>45342</v>
      </c>
      <c r="I306" s="5">
        <f>VLOOKUP('[1]New Data'!A103,'[1]New Data'!A:O,15,0)</f>
        <v>3</v>
      </c>
      <c r="J306" s="3">
        <f>VLOOKUP('[1]New Data'!A103,'[1]New Data'!A:P,16,0)</f>
        <v>242.8579728</v>
      </c>
      <c r="K306" s="3">
        <f>VLOOKUP('[1]New Data'!A103,'[1]New Data'!A:Q,17,0)</f>
        <v>728.57391840000003</v>
      </c>
      <c r="L306" s="3" t="str">
        <f>VLOOKUP('[1]New Data'!A306,'[1]New Data'!A:S,19,0)</f>
        <v>Books</v>
      </c>
      <c r="M306" s="3" t="str">
        <f>VLOOKUP('[1]New Data'!A306,'[1]New Data'!A:T,20,0)</f>
        <v>Non-Fiction</v>
      </c>
      <c r="N306" s="5">
        <f>VLOOKUP('[1]New Data'!A103,'[1]New Data'!A:Z,25,0)</f>
        <v>2</v>
      </c>
    </row>
    <row r="307" spans="1:14" hidden="1" x14ac:dyDescent="0.35">
      <c r="A307" s="2">
        <v>8305001</v>
      </c>
      <c r="B307" s="2">
        <v>45455</v>
      </c>
      <c r="C307" s="2" t="s">
        <v>326</v>
      </c>
      <c r="D307" s="2" t="s">
        <v>15</v>
      </c>
      <c r="E307" s="3">
        <f>VLOOKUP('[1]New Data'!A375,'[1]New Data'!A:H,8,0)</f>
        <v>41</v>
      </c>
      <c r="F307" s="3" t="str">
        <f>VLOOKUP('[1]New Data'!A375,'[1]New Data'!A:J,10,0)</f>
        <v>Male</v>
      </c>
      <c r="G307" s="3" t="str">
        <f>VLOOKUP('[1]New Data'!A375,'[1]New Data'!A:K,11,0)</f>
        <v>High</v>
      </c>
      <c r="H307" s="4">
        <f>VLOOKUP('[1]New Data'!A375,'[1]New Data'!A:M,13,0)</f>
        <v>44995</v>
      </c>
      <c r="I307" s="5">
        <f>VLOOKUP('[1]New Data'!A375,'[1]New Data'!A:O,15,0)</f>
        <v>7</v>
      </c>
      <c r="J307" s="3">
        <f>VLOOKUP('[1]New Data'!A375,'[1]New Data'!A:P,16,0)</f>
        <v>103.5787378</v>
      </c>
      <c r="K307" s="3">
        <f>VLOOKUP('[1]New Data'!A375,'[1]New Data'!A:Q,17,0)</f>
        <v>725.05116429999998</v>
      </c>
      <c r="L307" s="3" t="str">
        <f>VLOOKUP('[1]New Data'!A307,'[1]New Data'!A:S,19,0)</f>
        <v>Grocery</v>
      </c>
      <c r="M307" s="3" t="str">
        <f>VLOOKUP('[1]New Data'!A307,'[1]New Data'!A:T,20,0)</f>
        <v>Soft Drink</v>
      </c>
      <c r="N307" s="5">
        <f>VLOOKUP('[1]New Data'!A375,'[1]New Data'!A:Z,25,0)</f>
        <v>4</v>
      </c>
    </row>
    <row r="308" spans="1:14" hidden="1" x14ac:dyDescent="0.35">
      <c r="A308" s="2">
        <v>1705974</v>
      </c>
      <c r="B308" s="2">
        <v>40624</v>
      </c>
      <c r="C308" s="2" t="s">
        <v>327</v>
      </c>
      <c r="D308" s="2" t="s">
        <v>15</v>
      </c>
      <c r="E308" s="3">
        <f>VLOOKUP('[1]New Data'!A133,'[1]New Data'!A:H,8,0)</f>
        <v>18</v>
      </c>
      <c r="F308" s="3" t="str">
        <f>VLOOKUP('[1]New Data'!A133,'[1]New Data'!A:J,10,0)</f>
        <v>Male</v>
      </c>
      <c r="G308" s="3" t="str">
        <f>VLOOKUP('[1]New Data'!A133,'[1]New Data'!A:K,11,0)</f>
        <v>Medium</v>
      </c>
      <c r="H308" s="4">
        <f>VLOOKUP('[1]New Data'!A133,'[1]New Data'!A:M,13,0)</f>
        <v>44998</v>
      </c>
      <c r="I308" s="5">
        <f>VLOOKUP('[1]New Data'!A133,'[1]New Data'!A:O,15,0)</f>
        <v>2</v>
      </c>
      <c r="J308" s="3">
        <f>VLOOKUP('[1]New Data'!A133,'[1]New Data'!A:P,16,0)</f>
        <v>360.6269886</v>
      </c>
      <c r="K308" s="3">
        <f>VLOOKUP('[1]New Data'!A133,'[1]New Data'!A:Q,17,0)</f>
        <v>721.25397729999997</v>
      </c>
      <c r="L308" s="3" t="str">
        <f>VLOOKUP('[1]New Data'!A308,'[1]New Data'!A:S,19,0)</f>
        <v>Grocery</v>
      </c>
      <c r="M308" s="3" t="str">
        <f>VLOOKUP('[1]New Data'!A308,'[1]New Data'!A:T,20,0)</f>
        <v>Chocolate</v>
      </c>
      <c r="N308" s="5">
        <f>VLOOKUP('[1]New Data'!A133,'[1]New Data'!A:Z,25,0)</f>
        <v>5</v>
      </c>
    </row>
    <row r="309" spans="1:14" hidden="1" x14ac:dyDescent="0.35">
      <c r="A309" s="2">
        <v>6907373</v>
      </c>
      <c r="B309" s="2">
        <v>97201</v>
      </c>
      <c r="C309" s="2" t="s">
        <v>328</v>
      </c>
      <c r="D309" s="2" t="s">
        <v>15</v>
      </c>
      <c r="E309" s="3">
        <f>VLOOKUP('[1]New Data'!A154,'[1]New Data'!A:H,8,0)</f>
        <v>58</v>
      </c>
      <c r="F309" s="3" t="str">
        <f>VLOOKUP('[1]New Data'!A154,'[1]New Data'!A:J,10,0)</f>
        <v>Male</v>
      </c>
      <c r="G309" s="3" t="str">
        <f>VLOOKUP('[1]New Data'!A154,'[1]New Data'!A:K,11,0)</f>
        <v>Medium</v>
      </c>
      <c r="H309" s="4">
        <f>VLOOKUP('[1]New Data'!A154,'[1]New Data'!A:M,13,0)</f>
        <v>45077</v>
      </c>
      <c r="I309" s="5">
        <f>VLOOKUP('[1]New Data'!A154,'[1]New Data'!A:O,15,0)</f>
        <v>5</v>
      </c>
      <c r="J309" s="3">
        <f>VLOOKUP('[1]New Data'!A154,'[1]New Data'!A:P,16,0)</f>
        <v>142.07257960000001</v>
      </c>
      <c r="K309" s="3">
        <f>VLOOKUP('[1]New Data'!A154,'[1]New Data'!A:Q,17,0)</f>
        <v>710.36289780000004</v>
      </c>
      <c r="L309" s="3" t="str">
        <f>VLOOKUP('[1]New Data'!A309,'[1]New Data'!A:S,19,0)</f>
        <v>Grocery</v>
      </c>
      <c r="M309" s="3" t="str">
        <f>VLOOKUP('[1]New Data'!A309,'[1]New Data'!A:T,20,0)</f>
        <v>Water</v>
      </c>
      <c r="N309" s="5">
        <f>VLOOKUP('[1]New Data'!A154,'[1]New Data'!A:Z,25,0)</f>
        <v>5</v>
      </c>
    </row>
    <row r="310" spans="1:14" hidden="1" x14ac:dyDescent="0.35">
      <c r="A310" s="2">
        <v>2761901</v>
      </c>
      <c r="B310" s="2">
        <v>79517</v>
      </c>
      <c r="C310" s="2" t="s">
        <v>329</v>
      </c>
      <c r="D310" s="2" t="s">
        <v>15</v>
      </c>
      <c r="E310" s="3">
        <f>VLOOKUP('[1]New Data'!A259,'[1]New Data'!A:H,8,0)</f>
        <v>62</v>
      </c>
      <c r="F310" s="3" t="str">
        <f>VLOOKUP('[1]New Data'!A259,'[1]New Data'!A:J,10,0)</f>
        <v>Female</v>
      </c>
      <c r="G310" s="3" t="str">
        <f>VLOOKUP('[1]New Data'!A259,'[1]New Data'!A:K,11,0)</f>
        <v>High</v>
      </c>
      <c r="H310" s="4">
        <f>VLOOKUP('[1]New Data'!A259,'[1]New Data'!A:M,13,0)</f>
        <v>45334</v>
      </c>
      <c r="I310" s="5">
        <f>VLOOKUP('[1]New Data'!A259,'[1]New Data'!A:O,15,0)</f>
        <v>8</v>
      </c>
      <c r="J310" s="3">
        <f>VLOOKUP('[1]New Data'!A259,'[1]New Data'!A:P,16,0)</f>
        <v>88.347889030000005</v>
      </c>
      <c r="K310" s="3">
        <f>VLOOKUP('[1]New Data'!A259,'[1]New Data'!A:Q,17,0)</f>
        <v>706.78311220000001</v>
      </c>
      <c r="L310" s="3" t="str">
        <f>VLOOKUP('[1]New Data'!A310,'[1]New Data'!A:S,19,0)</f>
        <v>Grocery</v>
      </c>
      <c r="M310" s="3" t="str">
        <f>VLOOKUP('[1]New Data'!A310,'[1]New Data'!A:T,20,0)</f>
        <v>Juice</v>
      </c>
      <c r="N310" s="5">
        <f>VLOOKUP('[1]New Data'!A259,'[1]New Data'!A:Z,25,0)</f>
        <v>1</v>
      </c>
    </row>
    <row r="311" spans="1:14" hidden="1" x14ac:dyDescent="0.35">
      <c r="A311" s="2">
        <v>4179977</v>
      </c>
      <c r="B311" s="2">
        <v>39794</v>
      </c>
      <c r="C311" s="2" t="s">
        <v>330</v>
      </c>
      <c r="D311" s="2" t="s">
        <v>15</v>
      </c>
      <c r="E311" s="3">
        <f>VLOOKUP('[1]New Data'!A415,'[1]New Data'!A:H,8,0)</f>
        <v>22</v>
      </c>
      <c r="F311" s="3" t="str">
        <f>VLOOKUP('[1]New Data'!A415,'[1]New Data'!A:J,10,0)</f>
        <v>Female</v>
      </c>
      <c r="G311" s="3" t="str">
        <f>VLOOKUP('[1]New Data'!A415,'[1]New Data'!A:K,11,0)</f>
        <v>Low</v>
      </c>
      <c r="H311" s="4">
        <f>VLOOKUP('[1]New Data'!A415,'[1]New Data'!A:M,13,0)</f>
        <v>44988</v>
      </c>
      <c r="I311" s="5">
        <f>VLOOKUP('[1]New Data'!A415,'[1]New Data'!A:O,15,0)</f>
        <v>2</v>
      </c>
      <c r="J311" s="3">
        <f>VLOOKUP('[1]New Data'!A415,'[1]New Data'!A:P,16,0)</f>
        <v>353.27298039999999</v>
      </c>
      <c r="K311" s="3">
        <f>VLOOKUP('[1]New Data'!A415,'[1]New Data'!A:Q,17,0)</f>
        <v>706.54596079999999</v>
      </c>
      <c r="L311" s="3" t="str">
        <f>VLOOKUP('[1]New Data'!A311,'[1]New Data'!A:S,19,0)</f>
        <v>Electronics</v>
      </c>
      <c r="M311" s="3" t="str">
        <f>VLOOKUP('[1]New Data'!A311,'[1]New Data'!A:T,20,0)</f>
        <v>Smartphone</v>
      </c>
      <c r="N311" s="5">
        <f>VLOOKUP('[1]New Data'!A415,'[1]New Data'!A:Z,25,0)</f>
        <v>4</v>
      </c>
    </row>
    <row r="312" spans="1:14" hidden="1" x14ac:dyDescent="0.35">
      <c r="A312" s="2">
        <v>8574194</v>
      </c>
      <c r="B312" s="2">
        <v>50357</v>
      </c>
      <c r="C312" s="2" t="s">
        <v>331</v>
      </c>
      <c r="D312" s="2" t="s">
        <v>15</v>
      </c>
      <c r="E312" s="3">
        <f>VLOOKUP('[1]New Data'!A305,'[1]New Data'!A:H,8,0)</f>
        <v>22</v>
      </c>
      <c r="F312" s="3" t="str">
        <f>VLOOKUP('[1]New Data'!A305,'[1]New Data'!A:J,10,0)</f>
        <v>Male</v>
      </c>
      <c r="G312" s="3" t="str">
        <f>VLOOKUP('[1]New Data'!A305,'[1]New Data'!A:K,11,0)</f>
        <v>Low</v>
      </c>
      <c r="H312" s="4">
        <f>VLOOKUP('[1]New Data'!A305,'[1]New Data'!A:M,13,0)</f>
        <v>45266</v>
      </c>
      <c r="I312" s="5">
        <f>VLOOKUP('[1]New Data'!A305,'[1]New Data'!A:O,15,0)</f>
        <v>7</v>
      </c>
      <c r="J312" s="3">
        <f>VLOOKUP('[1]New Data'!A305,'[1]New Data'!A:P,16,0)</f>
        <v>99.197074529999995</v>
      </c>
      <c r="K312" s="3">
        <f>VLOOKUP('[1]New Data'!A305,'[1]New Data'!A:Q,17,0)</f>
        <v>694.37952170000005</v>
      </c>
      <c r="L312" s="3" t="str">
        <f>VLOOKUP('[1]New Data'!A312,'[1]New Data'!A:S,19,0)</f>
        <v>Clothing</v>
      </c>
      <c r="M312" s="3" t="str">
        <f>VLOOKUP('[1]New Data'!A312,'[1]New Data'!A:T,20,0)</f>
        <v>Shoes</v>
      </c>
      <c r="N312" s="5">
        <f>VLOOKUP('[1]New Data'!A305,'[1]New Data'!A:Z,25,0)</f>
        <v>4</v>
      </c>
    </row>
    <row r="313" spans="1:14" hidden="1" x14ac:dyDescent="0.35">
      <c r="A313" s="2">
        <v>4207988</v>
      </c>
      <c r="B313" s="2">
        <v>17065</v>
      </c>
      <c r="C313" s="2" t="s">
        <v>332</v>
      </c>
      <c r="D313" s="2" t="s">
        <v>15</v>
      </c>
      <c r="E313" s="3">
        <f>VLOOKUP('[1]New Data'!A369,'[1]New Data'!A:H,8,0)</f>
        <v>30</v>
      </c>
      <c r="F313" s="3" t="str">
        <f>VLOOKUP('[1]New Data'!A369,'[1]New Data'!A:J,10,0)</f>
        <v>Male</v>
      </c>
      <c r="G313" s="3" t="str">
        <f>VLOOKUP('[1]New Data'!A369,'[1]New Data'!A:K,11,0)</f>
        <v>Medium</v>
      </c>
      <c r="H313" s="4">
        <f>VLOOKUP('[1]New Data'!A369,'[1]New Data'!A:M,13,0)</f>
        <v>45334</v>
      </c>
      <c r="I313" s="5">
        <f>VLOOKUP('[1]New Data'!A369,'[1]New Data'!A:O,15,0)</f>
        <v>3</v>
      </c>
      <c r="J313" s="3">
        <f>VLOOKUP('[1]New Data'!A369,'[1]New Data'!A:P,16,0)</f>
        <v>229.7945618</v>
      </c>
      <c r="K313" s="3">
        <f>VLOOKUP('[1]New Data'!A369,'[1]New Data'!A:Q,17,0)</f>
        <v>689.38368549999996</v>
      </c>
      <c r="L313" s="3" t="str">
        <f>VLOOKUP('[1]New Data'!A313,'[1]New Data'!A:S,19,0)</f>
        <v>Grocery</v>
      </c>
      <c r="M313" s="3" t="str">
        <f>VLOOKUP('[1]New Data'!A313,'[1]New Data'!A:T,20,0)</f>
        <v>Soft Drink</v>
      </c>
      <c r="N313" s="5">
        <f>VLOOKUP('[1]New Data'!A369,'[1]New Data'!A:Z,25,0)</f>
        <v>1</v>
      </c>
    </row>
    <row r="314" spans="1:14" hidden="1" x14ac:dyDescent="0.35">
      <c r="A314" s="2">
        <v>7243960</v>
      </c>
      <c r="B314" s="2">
        <v>66020</v>
      </c>
      <c r="C314" s="2" t="s">
        <v>333</v>
      </c>
      <c r="D314" s="2" t="s">
        <v>15</v>
      </c>
      <c r="E314" s="3">
        <f>VLOOKUP('[1]New Data'!A482,'[1]New Data'!A:H,8,0)</f>
        <v>23</v>
      </c>
      <c r="F314" s="3" t="str">
        <f>VLOOKUP('[1]New Data'!A482,'[1]New Data'!A:J,10,0)</f>
        <v>Female</v>
      </c>
      <c r="G314" s="3" t="str">
        <f>VLOOKUP('[1]New Data'!A482,'[1]New Data'!A:K,11,0)</f>
        <v>Medium</v>
      </c>
      <c r="H314" s="4">
        <f>VLOOKUP('[1]New Data'!A482,'[1]New Data'!A:M,13,0)</f>
        <v>45130</v>
      </c>
      <c r="I314" s="5">
        <f>VLOOKUP('[1]New Data'!A482,'[1]New Data'!A:O,15,0)</f>
        <v>3</v>
      </c>
      <c r="J314" s="3">
        <f>VLOOKUP('[1]New Data'!A482,'[1]New Data'!A:P,16,0)</f>
        <v>229.32270130000001</v>
      </c>
      <c r="K314" s="3">
        <f>VLOOKUP('[1]New Data'!A482,'[1]New Data'!A:Q,17,0)</f>
        <v>687.96810379999999</v>
      </c>
      <c r="L314" s="3" t="str">
        <f>VLOOKUP('[1]New Data'!A314,'[1]New Data'!A:S,19,0)</f>
        <v>Clothing</v>
      </c>
      <c r="M314" s="3" t="str">
        <f>VLOOKUP('[1]New Data'!A314,'[1]New Data'!A:T,20,0)</f>
        <v>Jeans</v>
      </c>
      <c r="N314" s="5">
        <f>VLOOKUP('[1]New Data'!A482,'[1]New Data'!A:Z,25,0)</f>
        <v>4</v>
      </c>
    </row>
    <row r="315" spans="1:14" hidden="1" x14ac:dyDescent="0.35">
      <c r="A315" s="2">
        <v>7084758</v>
      </c>
      <c r="B315" s="2">
        <v>90471</v>
      </c>
      <c r="C315" s="2" t="s">
        <v>334</v>
      </c>
      <c r="D315" s="2" t="s">
        <v>15</v>
      </c>
      <c r="E315" s="3">
        <f>VLOOKUP('[1]New Data'!A276,'[1]New Data'!A:H,8,0)</f>
        <v>31</v>
      </c>
      <c r="F315" s="3" t="str">
        <f>VLOOKUP('[1]New Data'!A276,'[1]New Data'!A:J,10,0)</f>
        <v>Female</v>
      </c>
      <c r="G315" s="3" t="str">
        <f>VLOOKUP('[1]New Data'!A276,'[1]New Data'!A:K,11,0)</f>
        <v>Medium</v>
      </c>
      <c r="H315" s="4">
        <f>VLOOKUP('[1]New Data'!A276,'[1]New Data'!A:M,13,0)</f>
        <v>45151</v>
      </c>
      <c r="I315" s="5">
        <f>VLOOKUP('[1]New Data'!A276,'[1]New Data'!A:O,15,0)</f>
        <v>2</v>
      </c>
      <c r="J315" s="3">
        <f>VLOOKUP('[1]New Data'!A276,'[1]New Data'!A:P,16,0)</f>
        <v>343.06407630000001</v>
      </c>
      <c r="K315" s="3">
        <f>VLOOKUP('[1]New Data'!A276,'[1]New Data'!A:Q,17,0)</f>
        <v>686.12815260000002</v>
      </c>
      <c r="L315" s="3" t="str">
        <f>VLOOKUP('[1]New Data'!A315,'[1]New Data'!A:S,19,0)</f>
        <v>Clothing</v>
      </c>
      <c r="M315" s="3" t="str">
        <f>VLOOKUP('[1]New Data'!A315,'[1]New Data'!A:T,20,0)</f>
        <v>Shorts</v>
      </c>
      <c r="N315" s="5">
        <f>VLOOKUP('[1]New Data'!A276,'[1]New Data'!A:Z,25,0)</f>
        <v>2</v>
      </c>
    </row>
    <row r="316" spans="1:14" hidden="1" x14ac:dyDescent="0.35">
      <c r="A316" s="2">
        <v>4923734</v>
      </c>
      <c r="B316" s="2">
        <v>91172</v>
      </c>
      <c r="C316" s="2" t="s">
        <v>335</v>
      </c>
      <c r="D316" s="2" t="s">
        <v>15</v>
      </c>
      <c r="E316" s="3">
        <f>VLOOKUP('[1]New Data'!A43,'[1]New Data'!A:H,8,0)</f>
        <v>64</v>
      </c>
      <c r="F316" s="3" t="str">
        <f>VLOOKUP('[1]New Data'!A43,'[1]New Data'!A:J,10,0)</f>
        <v>Female</v>
      </c>
      <c r="G316" s="3" t="str">
        <f>VLOOKUP('[1]New Data'!A43,'[1]New Data'!A:K,11,0)</f>
        <v>High</v>
      </c>
      <c r="H316" s="4">
        <f>VLOOKUP('[1]New Data'!A43,'[1]New Data'!A:M,13,0)</f>
        <v>45002</v>
      </c>
      <c r="I316" s="5">
        <f>VLOOKUP('[1]New Data'!A43,'[1]New Data'!A:O,15,0)</f>
        <v>3</v>
      </c>
      <c r="J316" s="3">
        <f>VLOOKUP('[1]New Data'!A43,'[1]New Data'!A:P,16,0)</f>
        <v>227.4255488</v>
      </c>
      <c r="K316" s="3">
        <f>VLOOKUP('[1]New Data'!A43,'[1]New Data'!A:Q,17,0)</f>
        <v>682.27664649999997</v>
      </c>
      <c r="L316" s="3" t="str">
        <f>VLOOKUP('[1]New Data'!A316,'[1]New Data'!A:S,19,0)</f>
        <v>Electronics</v>
      </c>
      <c r="M316" s="3" t="str">
        <f>VLOOKUP('[1]New Data'!A316,'[1]New Data'!A:T,20,0)</f>
        <v>Tablet</v>
      </c>
      <c r="N316" s="5">
        <f>VLOOKUP('[1]New Data'!A43,'[1]New Data'!A:Z,25,0)</f>
        <v>4</v>
      </c>
    </row>
    <row r="317" spans="1:14" hidden="1" x14ac:dyDescent="0.35">
      <c r="A317" s="2">
        <v>7872156</v>
      </c>
      <c r="B317" s="2">
        <v>74342</v>
      </c>
      <c r="C317" s="2" t="s">
        <v>336</v>
      </c>
      <c r="D317" s="2" t="s">
        <v>15</v>
      </c>
      <c r="E317" s="3">
        <f>VLOOKUP('[1]New Data'!A283,'[1]New Data'!A:H,8,0)</f>
        <v>20</v>
      </c>
      <c r="F317" s="3" t="str">
        <f>VLOOKUP('[1]New Data'!A283,'[1]New Data'!A:J,10,0)</f>
        <v>Male</v>
      </c>
      <c r="G317" s="3" t="str">
        <f>VLOOKUP('[1]New Data'!A283,'[1]New Data'!A:K,11,0)</f>
        <v>Medium</v>
      </c>
      <c r="H317" s="4">
        <f>VLOOKUP('[1]New Data'!A283,'[1]New Data'!A:M,13,0)</f>
        <v>45015</v>
      </c>
      <c r="I317" s="5">
        <f>VLOOKUP('[1]New Data'!A283,'[1]New Data'!A:O,15,0)</f>
        <v>2</v>
      </c>
      <c r="J317" s="3">
        <f>VLOOKUP('[1]New Data'!A283,'[1]New Data'!A:P,16,0)</f>
        <v>340.90927799999997</v>
      </c>
      <c r="K317" s="3">
        <f>VLOOKUP('[1]New Data'!A283,'[1]New Data'!A:Q,17,0)</f>
        <v>681.81855610000002</v>
      </c>
      <c r="L317" s="3" t="str">
        <f>VLOOKUP('[1]New Data'!A317,'[1]New Data'!A:S,19,0)</f>
        <v>Clothing</v>
      </c>
      <c r="M317" s="3" t="str">
        <f>VLOOKUP('[1]New Data'!A317,'[1]New Data'!A:T,20,0)</f>
        <v>Shorts</v>
      </c>
      <c r="N317" s="5">
        <f>VLOOKUP('[1]New Data'!A283,'[1]New Data'!A:Z,25,0)</f>
        <v>5</v>
      </c>
    </row>
    <row r="318" spans="1:14" hidden="1" x14ac:dyDescent="0.35">
      <c r="A318" s="2">
        <v>4208526</v>
      </c>
      <c r="B318" s="2">
        <v>66911</v>
      </c>
      <c r="C318" s="2" t="s">
        <v>337</v>
      </c>
      <c r="D318" s="2" t="s">
        <v>15</v>
      </c>
      <c r="E318" s="3">
        <f>VLOOKUP('[1]New Data'!A36,'[1]New Data'!A:H,8,0)</f>
        <v>24</v>
      </c>
      <c r="F318" s="3" t="str">
        <f>VLOOKUP('[1]New Data'!A36,'[1]New Data'!A:J,10,0)</f>
        <v>Female</v>
      </c>
      <c r="G318" s="3" t="str">
        <f>VLOOKUP('[1]New Data'!A36,'[1]New Data'!A:K,11,0)</f>
        <v>Low</v>
      </c>
      <c r="H318" s="4">
        <f>VLOOKUP('[1]New Data'!A36,'[1]New Data'!A:M,13,0)</f>
        <v>45276</v>
      </c>
      <c r="I318" s="5">
        <f>VLOOKUP('[1]New Data'!A36,'[1]New Data'!A:O,15,0)</f>
        <v>2</v>
      </c>
      <c r="J318" s="3">
        <f>VLOOKUP('[1]New Data'!A36,'[1]New Data'!A:P,16,0)</f>
        <v>333.70443310000002</v>
      </c>
      <c r="K318" s="3">
        <f>VLOOKUP('[1]New Data'!A36,'[1]New Data'!A:Q,17,0)</f>
        <v>667.4088663</v>
      </c>
      <c r="L318" s="3" t="str">
        <f>VLOOKUP('[1]New Data'!A318,'[1]New Data'!A:S,19,0)</f>
        <v>Electronics</v>
      </c>
      <c r="M318" s="3" t="str">
        <f>VLOOKUP('[1]New Data'!A318,'[1]New Data'!A:T,20,0)</f>
        <v>Tablet</v>
      </c>
      <c r="N318" s="5">
        <f>VLOOKUP('[1]New Data'!A36,'[1]New Data'!A:Z,25,0)</f>
        <v>4</v>
      </c>
    </row>
    <row r="319" spans="1:14" hidden="1" x14ac:dyDescent="0.35">
      <c r="A319" s="2">
        <v>3556585</v>
      </c>
      <c r="B319" s="2">
        <v>55609</v>
      </c>
      <c r="C319" s="2" t="s">
        <v>338</v>
      </c>
      <c r="D319" s="2" t="s">
        <v>15</v>
      </c>
      <c r="E319" s="3">
        <f>VLOOKUP('[1]New Data'!A447,'[1]New Data'!A:H,8,0)</f>
        <v>52</v>
      </c>
      <c r="F319" s="3" t="str">
        <f>VLOOKUP('[1]New Data'!A447,'[1]New Data'!A:J,10,0)</f>
        <v>Female</v>
      </c>
      <c r="G319" s="3" t="str">
        <f>VLOOKUP('[1]New Data'!A447,'[1]New Data'!A:K,11,0)</f>
        <v>Medium</v>
      </c>
      <c r="H319" s="4">
        <f>VLOOKUP('[1]New Data'!A447,'[1]New Data'!A:M,13,0)</f>
        <v>45322</v>
      </c>
      <c r="I319" s="5">
        <f>VLOOKUP('[1]New Data'!A447,'[1]New Data'!A:O,15,0)</f>
        <v>3</v>
      </c>
      <c r="J319" s="3">
        <f>VLOOKUP('[1]New Data'!A447,'[1]New Data'!A:P,16,0)</f>
        <v>221.07437719999999</v>
      </c>
      <c r="K319" s="3">
        <f>VLOOKUP('[1]New Data'!A447,'[1]New Data'!A:Q,17,0)</f>
        <v>663.22313150000002</v>
      </c>
      <c r="L319" s="3" t="str">
        <f>VLOOKUP('[1]New Data'!A319,'[1]New Data'!A:S,19,0)</f>
        <v>Electronics</v>
      </c>
      <c r="M319" s="3" t="str">
        <f>VLOOKUP('[1]New Data'!A319,'[1]New Data'!A:T,20,0)</f>
        <v>Headphones</v>
      </c>
      <c r="N319" s="5">
        <f>VLOOKUP('[1]New Data'!A447,'[1]New Data'!A:Z,25,0)</f>
        <v>3</v>
      </c>
    </row>
    <row r="320" spans="1:14" hidden="1" x14ac:dyDescent="0.35">
      <c r="A320" s="2">
        <v>4201893</v>
      </c>
      <c r="B320" s="2">
        <v>93072</v>
      </c>
      <c r="C320" s="2" t="s">
        <v>339</v>
      </c>
      <c r="D320" s="2" t="s">
        <v>15</v>
      </c>
      <c r="E320" s="3">
        <f>VLOOKUP('[1]New Data'!A157,'[1]New Data'!A:H,8,0)</f>
        <v>46</v>
      </c>
      <c r="F320" s="3" t="str">
        <f>VLOOKUP('[1]New Data'!A157,'[1]New Data'!A:J,10,0)</f>
        <v>Male</v>
      </c>
      <c r="G320" s="3" t="str">
        <f>VLOOKUP('[1]New Data'!A157,'[1]New Data'!A:K,11,0)</f>
        <v>Low</v>
      </c>
      <c r="H320" s="4">
        <f>VLOOKUP('[1]New Data'!A157,'[1]New Data'!A:M,13,0)</f>
        <v>45274</v>
      </c>
      <c r="I320" s="5">
        <f>VLOOKUP('[1]New Data'!A157,'[1]New Data'!A:O,15,0)</f>
        <v>2</v>
      </c>
      <c r="J320" s="3">
        <f>VLOOKUP('[1]New Data'!A157,'[1]New Data'!A:P,16,0)</f>
        <v>324.91566769999997</v>
      </c>
      <c r="K320" s="3">
        <f>VLOOKUP('[1]New Data'!A157,'[1]New Data'!A:Q,17,0)</f>
        <v>649.83133529999998</v>
      </c>
      <c r="L320" s="3" t="str">
        <f>VLOOKUP('[1]New Data'!A320,'[1]New Data'!A:S,19,0)</f>
        <v>Clothing</v>
      </c>
      <c r="M320" s="3" t="str">
        <f>VLOOKUP('[1]New Data'!A320,'[1]New Data'!A:T,20,0)</f>
        <v>Shorts</v>
      </c>
      <c r="N320" s="5">
        <f>VLOOKUP('[1]New Data'!A157,'[1]New Data'!A:Z,25,0)</f>
        <v>4</v>
      </c>
    </row>
    <row r="321" spans="1:14" hidden="1" x14ac:dyDescent="0.35">
      <c r="A321" s="2">
        <v>2545225</v>
      </c>
      <c r="B321" s="2">
        <v>86575</v>
      </c>
      <c r="C321" s="2" t="s">
        <v>340</v>
      </c>
      <c r="D321" s="2" t="s">
        <v>15</v>
      </c>
      <c r="E321" s="3">
        <f>VLOOKUP('[1]New Data'!A51,'[1]New Data'!A:H,8,0)</f>
        <v>57</v>
      </c>
      <c r="F321" s="3" t="str">
        <f>VLOOKUP('[1]New Data'!A51,'[1]New Data'!A:J,10,0)</f>
        <v>Female</v>
      </c>
      <c r="G321" s="3" t="str">
        <f>VLOOKUP('[1]New Data'!A51,'[1]New Data'!A:K,11,0)</f>
        <v>Medium</v>
      </c>
      <c r="H321" s="4">
        <f>VLOOKUP('[1]New Data'!A51,'[1]New Data'!A:M,13,0)</f>
        <v>45179</v>
      </c>
      <c r="I321" s="5">
        <f>VLOOKUP('[1]New Data'!A51,'[1]New Data'!A:O,15,0)</f>
        <v>6</v>
      </c>
      <c r="J321" s="3">
        <f>VLOOKUP('[1]New Data'!A51,'[1]New Data'!A:P,16,0)</f>
        <v>106.506742</v>
      </c>
      <c r="K321" s="3">
        <f>VLOOKUP('[1]New Data'!A51,'[1]New Data'!A:Q,17,0)</f>
        <v>639.04045199999996</v>
      </c>
      <c r="L321" s="3" t="str">
        <f>VLOOKUP('[1]New Data'!A321,'[1]New Data'!A:S,19,0)</f>
        <v>Clothing</v>
      </c>
      <c r="M321" s="3" t="str">
        <f>VLOOKUP('[1]New Data'!A321,'[1]New Data'!A:T,20,0)</f>
        <v>T-shirt</v>
      </c>
      <c r="N321" s="5">
        <f>VLOOKUP('[1]New Data'!A51,'[1]New Data'!A:Z,25,0)</f>
        <v>2</v>
      </c>
    </row>
    <row r="322" spans="1:14" hidden="1" x14ac:dyDescent="0.35">
      <c r="A322" s="2">
        <v>3101821</v>
      </c>
      <c r="B322" s="2">
        <v>93615</v>
      </c>
      <c r="C322" s="2" t="s">
        <v>341</v>
      </c>
      <c r="D322" s="2" t="s">
        <v>15</v>
      </c>
      <c r="E322" s="3">
        <f>VLOOKUP('[1]New Data'!A99,'[1]New Data'!A:H,8,0)</f>
        <v>35</v>
      </c>
      <c r="F322" s="3" t="str">
        <f>VLOOKUP('[1]New Data'!A99,'[1]New Data'!A:J,10,0)</f>
        <v>Male</v>
      </c>
      <c r="G322" s="3" t="str">
        <f>VLOOKUP('[1]New Data'!A99,'[1]New Data'!A:K,11,0)</f>
        <v>Low</v>
      </c>
      <c r="H322" s="4">
        <f>VLOOKUP('[1]New Data'!A99,'[1]New Data'!A:M,13,0)</f>
        <v>44993</v>
      </c>
      <c r="I322" s="5">
        <f>VLOOKUP('[1]New Data'!A99,'[1]New Data'!A:O,15,0)</f>
        <v>6</v>
      </c>
      <c r="J322" s="3">
        <f>VLOOKUP('[1]New Data'!A99,'[1]New Data'!A:P,16,0)</f>
        <v>106.4830681</v>
      </c>
      <c r="K322" s="3">
        <f>VLOOKUP('[1]New Data'!A99,'[1]New Data'!A:Q,17,0)</f>
        <v>638.89840860000004</v>
      </c>
      <c r="L322" s="3" t="str">
        <f>VLOOKUP('[1]New Data'!A322,'[1]New Data'!A:S,19,0)</f>
        <v>Books</v>
      </c>
      <c r="M322" s="3" t="str">
        <f>VLOOKUP('[1]New Data'!A322,'[1]New Data'!A:T,20,0)</f>
        <v>Non-Fiction</v>
      </c>
      <c r="N322" s="5">
        <f>VLOOKUP('[1]New Data'!A99,'[1]New Data'!A:Z,25,0)</f>
        <v>1</v>
      </c>
    </row>
    <row r="323" spans="1:14" x14ac:dyDescent="0.35">
      <c r="A323" s="2">
        <v>4190867</v>
      </c>
      <c r="B323" s="2">
        <v>35511</v>
      </c>
      <c r="C323" s="2" t="s">
        <v>342</v>
      </c>
      <c r="D323" s="2" t="s">
        <v>15</v>
      </c>
      <c r="E323" s="3">
        <f>VLOOKUP('[1]New Data'!A419,'[1]New Data'!A:H,8,0)</f>
        <v>47</v>
      </c>
      <c r="F323" s="3" t="str">
        <f>VLOOKUP('[1]New Data'!A419,'[1]New Data'!A:J,10,0)</f>
        <v>Male</v>
      </c>
      <c r="G323" s="3" t="str">
        <f>VLOOKUP('[1]New Data'!A419,'[1]New Data'!A:K,11,0)</f>
        <v>Medium</v>
      </c>
      <c r="H323" s="4">
        <f>VLOOKUP('[1]New Data'!A419,'[1]New Data'!A:M,13,0)</f>
        <v>45333</v>
      </c>
      <c r="I323" s="5">
        <f>VLOOKUP('[1]New Data'!A419,'[1]New Data'!A:O,15,0)</f>
        <v>6</v>
      </c>
      <c r="J323" s="3">
        <f>VLOOKUP('[1]New Data'!A419,'[1]New Data'!A:P,16,0)</f>
        <v>105.8696557</v>
      </c>
      <c r="K323" s="3">
        <f>VLOOKUP('[1]New Data'!A419,'[1]New Data'!A:Q,17,0)</f>
        <v>635.21793390000005</v>
      </c>
      <c r="L323" s="3" t="str">
        <f>VLOOKUP('[1]New Data'!A323,'[1]New Data'!A:S,19,0)</f>
        <v>Home Decor</v>
      </c>
      <c r="M323" s="3" t="str">
        <f>VLOOKUP('[1]New Data'!A323,'[1]New Data'!A:T,20,0)</f>
        <v>Lighting</v>
      </c>
      <c r="N323" s="5">
        <f>VLOOKUP('[1]New Data'!A419,'[1]New Data'!A:Z,25,0)</f>
        <v>1</v>
      </c>
    </row>
    <row r="324" spans="1:14" hidden="1" x14ac:dyDescent="0.35">
      <c r="A324" s="2">
        <v>2492168</v>
      </c>
      <c r="B324" s="2">
        <v>40619</v>
      </c>
      <c r="C324" s="2" t="s">
        <v>343</v>
      </c>
      <c r="D324" s="2" t="s">
        <v>15</v>
      </c>
      <c r="E324" s="3">
        <f>VLOOKUP('[1]New Data'!A304,'[1]New Data'!A:H,8,0)</f>
        <v>19</v>
      </c>
      <c r="F324" s="3" t="str">
        <f>VLOOKUP('[1]New Data'!A304,'[1]New Data'!A:J,10,0)</f>
        <v>Male</v>
      </c>
      <c r="G324" s="3" t="str">
        <f>VLOOKUP('[1]New Data'!A304,'[1]New Data'!A:K,11,0)</f>
        <v>Medium</v>
      </c>
      <c r="H324" s="4">
        <f>VLOOKUP('[1]New Data'!A304,'[1]New Data'!A:M,13,0)</f>
        <v>45236</v>
      </c>
      <c r="I324" s="5">
        <f>VLOOKUP('[1]New Data'!A304,'[1]New Data'!A:O,15,0)</f>
        <v>2</v>
      </c>
      <c r="J324" s="3">
        <f>VLOOKUP('[1]New Data'!A304,'[1]New Data'!A:P,16,0)</f>
        <v>317.00159339999999</v>
      </c>
      <c r="K324" s="3">
        <f>VLOOKUP('[1]New Data'!A304,'[1]New Data'!A:Q,17,0)</f>
        <v>634.00318679999998</v>
      </c>
      <c r="L324" s="3" t="str">
        <f>VLOOKUP('[1]New Data'!A324,'[1]New Data'!A:S,19,0)</f>
        <v>Books</v>
      </c>
      <c r="M324" s="3" t="str">
        <f>VLOOKUP('[1]New Data'!A324,'[1]New Data'!A:T,20,0)</f>
        <v>Literature</v>
      </c>
      <c r="N324" s="5">
        <f>VLOOKUP('[1]New Data'!A304,'[1]New Data'!A:Z,25,0)</f>
        <v>4</v>
      </c>
    </row>
    <row r="325" spans="1:14" hidden="1" x14ac:dyDescent="0.35">
      <c r="A325" s="2">
        <v>5434096</v>
      </c>
      <c r="B325" s="2">
        <v>97285</v>
      </c>
      <c r="C325" s="2" t="s">
        <v>344</v>
      </c>
      <c r="D325" s="2" t="s">
        <v>345</v>
      </c>
      <c r="E325" s="3">
        <f>VLOOKUP('[1]New Data'!A8,'[1]New Data'!A:H,8,0)</f>
        <v>29</v>
      </c>
      <c r="F325" s="3" t="str">
        <f>VLOOKUP('[1]New Data'!A8,'[1]New Data'!A:J,10,0)</f>
        <v>Female</v>
      </c>
      <c r="G325" s="3" t="str">
        <f>VLOOKUP('[1]New Data'!A8,'[1]New Data'!A:K,11,0)</f>
        <v>Low</v>
      </c>
      <c r="H325" s="4">
        <f>VLOOKUP('[1]New Data'!A8,'[1]New Data'!A:M,13,0)</f>
        <v>45103</v>
      </c>
      <c r="I325" s="5">
        <f>VLOOKUP('[1]New Data'!A8,'[1]New Data'!A:O,15,0)</f>
        <v>2</v>
      </c>
      <c r="J325" s="3">
        <f>VLOOKUP('[1]New Data'!A8,'[1]New Data'!A:P,16,0)</f>
        <v>315.0576476</v>
      </c>
      <c r="K325" s="3">
        <f>VLOOKUP('[1]New Data'!A8,'[1]New Data'!A:Q,17,0)</f>
        <v>630.11529510000003</v>
      </c>
      <c r="L325" s="3" t="str">
        <f>VLOOKUP('[1]New Data'!A325,'[1]New Data'!A:S,19,0)</f>
        <v>Books</v>
      </c>
      <c r="M325" s="3" t="str">
        <f>VLOOKUP('[1]New Data'!A325,'[1]New Data'!A:T,20,0)</f>
        <v>Children's</v>
      </c>
      <c r="N325" s="5">
        <f>VLOOKUP('[1]New Data'!A8,'[1]New Data'!A:Z,25,0)</f>
        <v>1</v>
      </c>
    </row>
    <row r="326" spans="1:14" hidden="1" x14ac:dyDescent="0.35">
      <c r="A326" s="2">
        <v>7647671</v>
      </c>
      <c r="B326" s="2">
        <v>93553</v>
      </c>
      <c r="C326" s="2" t="s">
        <v>346</v>
      </c>
      <c r="D326" s="2" t="s">
        <v>15</v>
      </c>
      <c r="E326" s="3">
        <f>VLOOKUP('[1]New Data'!A491,'[1]New Data'!A:H,8,0)</f>
        <v>25</v>
      </c>
      <c r="F326" s="3" t="str">
        <f>VLOOKUP('[1]New Data'!A491,'[1]New Data'!A:J,10,0)</f>
        <v>Male</v>
      </c>
      <c r="G326" s="3" t="str">
        <f>VLOOKUP('[1]New Data'!A491,'[1]New Data'!A:K,11,0)</f>
        <v>High</v>
      </c>
      <c r="H326" s="4">
        <f>VLOOKUP('[1]New Data'!A491,'[1]New Data'!A:M,13,0)</f>
        <v>45097</v>
      </c>
      <c r="I326" s="5">
        <f>VLOOKUP('[1]New Data'!A491,'[1]New Data'!A:O,15,0)</f>
        <v>5</v>
      </c>
      <c r="J326" s="3">
        <f>VLOOKUP('[1]New Data'!A491,'[1]New Data'!A:P,16,0)</f>
        <v>125.0114069</v>
      </c>
      <c r="K326" s="3">
        <f>VLOOKUP('[1]New Data'!A491,'[1]New Data'!A:Q,17,0)</f>
        <v>625.05703449999999</v>
      </c>
      <c r="L326" s="3" t="str">
        <f>VLOOKUP('[1]New Data'!A326,'[1]New Data'!A:S,19,0)</f>
        <v>Electronics</v>
      </c>
      <c r="M326" s="3" t="str">
        <f>VLOOKUP('[1]New Data'!A326,'[1]New Data'!A:T,20,0)</f>
        <v>Tablet</v>
      </c>
      <c r="N326" s="5">
        <f>VLOOKUP('[1]New Data'!A491,'[1]New Data'!A:Z,25,0)</f>
        <v>1</v>
      </c>
    </row>
    <row r="327" spans="1:14" hidden="1" x14ac:dyDescent="0.35">
      <c r="A327" s="2">
        <v>8676898</v>
      </c>
      <c r="B327" s="2">
        <v>67970</v>
      </c>
      <c r="C327" s="2" t="s">
        <v>347</v>
      </c>
      <c r="D327" s="2" t="s">
        <v>15</v>
      </c>
      <c r="E327" s="3">
        <f>VLOOKUP('[1]New Data'!A223,'[1]New Data'!A:H,8,0)</f>
        <v>65</v>
      </c>
      <c r="F327" s="3" t="str">
        <f>VLOOKUP('[1]New Data'!A223,'[1]New Data'!A:J,10,0)</f>
        <v>Male</v>
      </c>
      <c r="G327" s="3" t="str">
        <f>VLOOKUP('[1]New Data'!A223,'[1]New Data'!A:K,11,0)</f>
        <v>High</v>
      </c>
      <c r="H327" s="4">
        <f>VLOOKUP('[1]New Data'!A223,'[1]New Data'!A:M,13,0)</f>
        <v>45297</v>
      </c>
      <c r="I327" s="5">
        <f>VLOOKUP('[1]New Data'!A223,'[1]New Data'!A:O,15,0)</f>
        <v>2</v>
      </c>
      <c r="J327" s="3">
        <f>VLOOKUP('[1]New Data'!A223,'[1]New Data'!A:P,16,0)</f>
        <v>312.30908720000002</v>
      </c>
      <c r="K327" s="3">
        <f>VLOOKUP('[1]New Data'!A223,'[1]New Data'!A:Q,17,0)</f>
        <v>624.61817450000001</v>
      </c>
      <c r="L327" s="3" t="str">
        <f>VLOOKUP('[1]New Data'!A327,'[1]New Data'!A:S,19,0)</f>
        <v>Clothing</v>
      </c>
      <c r="M327" s="3" t="str">
        <f>VLOOKUP('[1]New Data'!A327,'[1]New Data'!A:T,20,0)</f>
        <v>Shorts</v>
      </c>
      <c r="N327" s="5">
        <f>VLOOKUP('[1]New Data'!A223,'[1]New Data'!A:Z,25,0)</f>
        <v>5</v>
      </c>
    </row>
    <row r="328" spans="1:14" x14ac:dyDescent="0.35">
      <c r="A328" s="2">
        <v>4242791</v>
      </c>
      <c r="B328" s="2">
        <v>30209</v>
      </c>
      <c r="C328" s="2" t="s">
        <v>348</v>
      </c>
      <c r="D328" s="2" t="s">
        <v>15</v>
      </c>
      <c r="E328" s="3">
        <f>VLOOKUP('[1]New Data'!A416,'[1]New Data'!A:H,8,0)</f>
        <v>21</v>
      </c>
      <c r="F328" s="3" t="str">
        <f>VLOOKUP('[1]New Data'!A416,'[1]New Data'!A:J,10,0)</f>
        <v>Male</v>
      </c>
      <c r="G328" s="3" t="str">
        <f>VLOOKUP('[1]New Data'!A416,'[1]New Data'!A:K,11,0)</f>
        <v>High</v>
      </c>
      <c r="H328" s="4">
        <f>VLOOKUP('[1]New Data'!A416,'[1]New Data'!A:M,13,0)</f>
        <v>45000</v>
      </c>
      <c r="I328" s="5">
        <f>VLOOKUP('[1]New Data'!A416,'[1]New Data'!A:O,15,0)</f>
        <v>2</v>
      </c>
      <c r="J328" s="3">
        <f>VLOOKUP('[1]New Data'!A416,'[1]New Data'!A:P,16,0)</f>
        <v>306.4115238</v>
      </c>
      <c r="K328" s="3">
        <f>VLOOKUP('[1]New Data'!A416,'[1]New Data'!A:Q,17,0)</f>
        <v>612.8230476</v>
      </c>
      <c r="L328" s="3" t="str">
        <f>VLOOKUP('[1]New Data'!A328,'[1]New Data'!A:S,19,0)</f>
        <v>Home Decor</v>
      </c>
      <c r="M328" s="3" t="str">
        <f>VLOOKUP('[1]New Data'!A328,'[1]New Data'!A:T,20,0)</f>
        <v>Decorations</v>
      </c>
      <c r="N328" s="5">
        <f>VLOOKUP('[1]New Data'!A416,'[1]New Data'!A:Z,25,0)</f>
        <v>4</v>
      </c>
    </row>
    <row r="329" spans="1:14" hidden="1" x14ac:dyDescent="0.35">
      <c r="A329" s="2">
        <v>2690040</v>
      </c>
      <c r="B329" s="2">
        <v>67876</v>
      </c>
      <c r="C329" s="2" t="s">
        <v>349</v>
      </c>
      <c r="D329" s="2" t="s">
        <v>15</v>
      </c>
      <c r="E329" s="3">
        <f>VLOOKUP('[1]New Data'!A394,'[1]New Data'!A:H,8,0)</f>
        <v>29</v>
      </c>
      <c r="F329" s="3" t="str">
        <f>VLOOKUP('[1]New Data'!A394,'[1]New Data'!A:J,10,0)</f>
        <v>Male</v>
      </c>
      <c r="G329" s="3" t="str">
        <f>VLOOKUP('[1]New Data'!A394,'[1]New Data'!A:K,11,0)</f>
        <v>High</v>
      </c>
      <c r="H329" s="4">
        <f>VLOOKUP('[1]New Data'!A394,'[1]New Data'!A:M,13,0)</f>
        <v>45323</v>
      </c>
      <c r="I329" s="5">
        <f>VLOOKUP('[1]New Data'!A394,'[1]New Data'!A:O,15,0)</f>
        <v>2</v>
      </c>
      <c r="J329" s="3">
        <f>VLOOKUP('[1]New Data'!A394,'[1]New Data'!A:P,16,0)</f>
        <v>304.30749379999997</v>
      </c>
      <c r="K329" s="3">
        <f>VLOOKUP('[1]New Data'!A394,'[1]New Data'!A:Q,17,0)</f>
        <v>608.61498759999995</v>
      </c>
      <c r="L329" s="3" t="str">
        <f>VLOOKUP('[1]New Data'!A329,'[1]New Data'!A:S,19,0)</f>
        <v>Electronics</v>
      </c>
      <c r="M329" s="3" t="str">
        <f>VLOOKUP('[1]New Data'!A329,'[1]New Data'!A:T,20,0)</f>
        <v>Television</v>
      </c>
      <c r="N329" s="5">
        <f>VLOOKUP('[1]New Data'!A394,'[1]New Data'!A:Z,25,0)</f>
        <v>3</v>
      </c>
    </row>
    <row r="330" spans="1:14" hidden="1" x14ac:dyDescent="0.35">
      <c r="A330" s="2">
        <v>7267435</v>
      </c>
      <c r="B330" s="2">
        <v>24363</v>
      </c>
      <c r="C330" s="2" t="s">
        <v>350</v>
      </c>
      <c r="D330" s="2" t="s">
        <v>15</v>
      </c>
      <c r="E330" s="3">
        <f>VLOOKUP('[1]New Data'!A274,'[1]New Data'!A:H,8,0)</f>
        <v>21</v>
      </c>
      <c r="F330" s="3" t="str">
        <f>VLOOKUP('[1]New Data'!A274,'[1]New Data'!A:J,10,0)</f>
        <v>Male</v>
      </c>
      <c r="G330" s="3" t="str">
        <f>VLOOKUP('[1]New Data'!A274,'[1]New Data'!A:K,11,0)</f>
        <v>Low</v>
      </c>
      <c r="H330" s="4">
        <f>VLOOKUP('[1]New Data'!A274,'[1]New Data'!A:M,13,0)</f>
        <v>45337</v>
      </c>
      <c r="I330" s="5">
        <f>VLOOKUP('[1]New Data'!A274,'[1]New Data'!A:O,15,0)</f>
        <v>10</v>
      </c>
      <c r="J330" s="3">
        <f>VLOOKUP('[1]New Data'!A274,'[1]New Data'!A:P,16,0)</f>
        <v>60.557969219999997</v>
      </c>
      <c r="K330" s="3">
        <f>VLOOKUP('[1]New Data'!A274,'[1]New Data'!A:Q,17,0)</f>
        <v>605.57969219999995</v>
      </c>
      <c r="L330" s="3" t="str">
        <f>VLOOKUP('[1]New Data'!A330,'[1]New Data'!A:S,19,0)</f>
        <v>Books</v>
      </c>
      <c r="M330" s="3" t="str">
        <f>VLOOKUP('[1]New Data'!A330,'[1]New Data'!A:T,20,0)</f>
        <v>Fiction</v>
      </c>
      <c r="N330" s="5">
        <f>VLOOKUP('[1]New Data'!A274,'[1]New Data'!A:Z,25,0)</f>
        <v>3</v>
      </c>
    </row>
    <row r="331" spans="1:14" hidden="1" x14ac:dyDescent="0.35">
      <c r="A331" s="2">
        <v>6583026</v>
      </c>
      <c r="B331" s="2">
        <v>41424</v>
      </c>
      <c r="C331" s="2" t="s">
        <v>351</v>
      </c>
      <c r="D331" s="2" t="s">
        <v>15</v>
      </c>
      <c r="E331" s="3">
        <f>VLOOKUP('[1]New Data'!A494,'[1]New Data'!A:H,8,0)</f>
        <v>66</v>
      </c>
      <c r="F331" s="3" t="str">
        <f>VLOOKUP('[1]New Data'!A494,'[1]New Data'!A:J,10,0)</f>
        <v>Male</v>
      </c>
      <c r="G331" s="3" t="str">
        <f>VLOOKUP('[1]New Data'!A494,'[1]New Data'!A:K,11,0)</f>
        <v>High</v>
      </c>
      <c r="H331" s="4">
        <f>VLOOKUP('[1]New Data'!A494,'[1]New Data'!A:M,13,0)</f>
        <v>45066</v>
      </c>
      <c r="I331" s="5">
        <f>VLOOKUP('[1]New Data'!A494,'[1]New Data'!A:O,15,0)</f>
        <v>9</v>
      </c>
      <c r="J331" s="3">
        <f>VLOOKUP('[1]New Data'!A494,'[1]New Data'!A:P,16,0)</f>
        <v>67.056259330000003</v>
      </c>
      <c r="K331" s="3">
        <f>VLOOKUP('[1]New Data'!A494,'[1]New Data'!A:Q,17,0)</f>
        <v>603.50633389999996</v>
      </c>
      <c r="L331" s="3" t="str">
        <f>VLOOKUP('[1]New Data'!A331,'[1]New Data'!A:S,19,0)</f>
        <v>Clothing</v>
      </c>
      <c r="M331" s="3" t="str">
        <f>VLOOKUP('[1]New Data'!A331,'[1]New Data'!A:T,20,0)</f>
        <v>Shirt</v>
      </c>
      <c r="N331" s="5">
        <f>VLOOKUP('[1]New Data'!A494,'[1]New Data'!A:Z,25,0)</f>
        <v>3</v>
      </c>
    </row>
    <row r="332" spans="1:14" hidden="1" x14ac:dyDescent="0.35">
      <c r="A332" s="2">
        <v>2207555</v>
      </c>
      <c r="B332" s="2">
        <v>28302</v>
      </c>
      <c r="C332" s="2" t="s">
        <v>352</v>
      </c>
      <c r="D332" s="2" t="s">
        <v>15</v>
      </c>
      <c r="E332" s="3">
        <f>VLOOKUP('[1]New Data'!A409,'[1]New Data'!A:H,8,0)</f>
        <v>69</v>
      </c>
      <c r="F332" s="3" t="str">
        <f>VLOOKUP('[1]New Data'!A409,'[1]New Data'!A:J,10,0)</f>
        <v>Female</v>
      </c>
      <c r="G332" s="3" t="str">
        <f>VLOOKUP('[1]New Data'!A409,'[1]New Data'!A:K,11,0)</f>
        <v>High</v>
      </c>
      <c r="H332" s="4">
        <f>VLOOKUP('[1]New Data'!A409,'[1]New Data'!A:M,13,0)</f>
        <v>45130</v>
      </c>
      <c r="I332" s="5">
        <f>VLOOKUP('[1]New Data'!A409,'[1]New Data'!A:O,15,0)</f>
        <v>3</v>
      </c>
      <c r="J332" s="3">
        <f>VLOOKUP('[1]New Data'!A409,'[1]New Data'!A:P,16,0)</f>
        <v>201.03780810000001</v>
      </c>
      <c r="K332" s="3">
        <f>VLOOKUP('[1]New Data'!A409,'[1]New Data'!A:Q,17,0)</f>
        <v>603.11342430000002</v>
      </c>
      <c r="L332" s="3" t="str">
        <f>VLOOKUP('[1]New Data'!A332,'[1]New Data'!A:S,19,0)</f>
        <v>Grocery</v>
      </c>
      <c r="M332" s="3" t="str">
        <f>VLOOKUP('[1]New Data'!A332,'[1]New Data'!A:T,20,0)</f>
        <v>Juice</v>
      </c>
      <c r="N332" s="5">
        <f>VLOOKUP('[1]New Data'!A409,'[1]New Data'!A:Z,25,0)</f>
        <v>5</v>
      </c>
    </row>
    <row r="333" spans="1:14" hidden="1" x14ac:dyDescent="0.35">
      <c r="A333" s="2">
        <v>7978896</v>
      </c>
      <c r="B333" s="2">
        <v>28489</v>
      </c>
      <c r="C333" s="2" t="s">
        <v>353</v>
      </c>
      <c r="D333" s="2" t="s">
        <v>15</v>
      </c>
      <c r="E333" s="3">
        <f>VLOOKUP('[1]New Data'!A91,'[1]New Data'!A:H,8,0)</f>
        <v>43</v>
      </c>
      <c r="F333" s="3" t="str">
        <f>VLOOKUP('[1]New Data'!A91,'[1]New Data'!A:J,10,0)</f>
        <v>Male</v>
      </c>
      <c r="G333" s="3" t="str">
        <f>VLOOKUP('[1]New Data'!A91,'[1]New Data'!A:K,11,0)</f>
        <v>Medium</v>
      </c>
      <c r="H333" s="4">
        <f>VLOOKUP('[1]New Data'!A91,'[1]New Data'!A:M,13,0)</f>
        <v>45267</v>
      </c>
      <c r="I333" s="5">
        <f>VLOOKUP('[1]New Data'!A91,'[1]New Data'!A:O,15,0)</f>
        <v>3</v>
      </c>
      <c r="J333" s="3">
        <f>VLOOKUP('[1]New Data'!A91,'[1]New Data'!A:P,16,0)</f>
        <v>199.82450130000001</v>
      </c>
      <c r="K333" s="3">
        <f>VLOOKUP('[1]New Data'!A91,'[1]New Data'!A:Q,17,0)</f>
        <v>599.4735038</v>
      </c>
      <c r="L333" s="3" t="str">
        <f>VLOOKUP('[1]New Data'!A333,'[1]New Data'!A:S,19,0)</f>
        <v>Books</v>
      </c>
      <c r="M333" s="3" t="str">
        <f>VLOOKUP('[1]New Data'!A333,'[1]New Data'!A:T,20,0)</f>
        <v>Fiction</v>
      </c>
      <c r="N333" s="5">
        <f>VLOOKUP('[1]New Data'!A91,'[1]New Data'!A:Z,25,0)</f>
        <v>1</v>
      </c>
    </row>
    <row r="334" spans="1:14" hidden="1" x14ac:dyDescent="0.35">
      <c r="A334" s="2">
        <v>2038772</v>
      </c>
      <c r="B334" s="2">
        <v>98991</v>
      </c>
      <c r="C334" s="2" t="s">
        <v>354</v>
      </c>
      <c r="D334" s="2" t="s">
        <v>15</v>
      </c>
      <c r="E334" s="3">
        <f>VLOOKUP('[1]New Data'!A282,'[1]New Data'!A:H,8,0)</f>
        <v>26</v>
      </c>
      <c r="F334" s="3" t="str">
        <f>VLOOKUP('[1]New Data'!A282,'[1]New Data'!A:J,10,0)</f>
        <v>Male</v>
      </c>
      <c r="G334" s="3" t="str">
        <f>VLOOKUP('[1]New Data'!A282,'[1]New Data'!A:K,11,0)</f>
        <v>Low</v>
      </c>
      <c r="H334" s="4">
        <f>VLOOKUP('[1]New Data'!A282,'[1]New Data'!A:M,13,0)</f>
        <v>45065</v>
      </c>
      <c r="I334" s="5">
        <f>VLOOKUP('[1]New Data'!A282,'[1]New Data'!A:O,15,0)</f>
        <v>2</v>
      </c>
      <c r="J334" s="3">
        <f>VLOOKUP('[1]New Data'!A282,'[1]New Data'!A:P,16,0)</f>
        <v>299.5818458</v>
      </c>
      <c r="K334" s="3">
        <f>VLOOKUP('[1]New Data'!A282,'[1]New Data'!A:Q,17,0)</f>
        <v>599.16369150000003</v>
      </c>
      <c r="L334" s="3" t="str">
        <f>VLOOKUP('[1]New Data'!A334,'[1]New Data'!A:S,19,0)</f>
        <v>Books</v>
      </c>
      <c r="M334" s="3" t="str">
        <f>VLOOKUP('[1]New Data'!A334,'[1]New Data'!A:T,20,0)</f>
        <v>Thriller</v>
      </c>
      <c r="N334" s="5">
        <f>VLOOKUP('[1]New Data'!A282,'[1]New Data'!A:Z,25,0)</f>
        <v>2</v>
      </c>
    </row>
    <row r="335" spans="1:14" hidden="1" x14ac:dyDescent="0.35">
      <c r="A335" s="2">
        <v>5325812</v>
      </c>
      <c r="B335" s="2">
        <v>23314</v>
      </c>
      <c r="C335" s="2" t="s">
        <v>355</v>
      </c>
      <c r="D335" s="2" t="s">
        <v>15</v>
      </c>
      <c r="E335" s="3">
        <f>VLOOKUP('[1]New Data'!A466,'[1]New Data'!A:H,8,0)</f>
        <v>66</v>
      </c>
      <c r="F335" s="3" t="str">
        <f>VLOOKUP('[1]New Data'!A466,'[1]New Data'!A:J,10,0)</f>
        <v>Male</v>
      </c>
      <c r="G335" s="3" t="str">
        <f>VLOOKUP('[1]New Data'!A466,'[1]New Data'!A:K,11,0)</f>
        <v>Low</v>
      </c>
      <c r="H335" s="4">
        <f>VLOOKUP('[1]New Data'!A466,'[1]New Data'!A:M,13,0)</f>
        <v>45246</v>
      </c>
      <c r="I335" s="5">
        <f>VLOOKUP('[1]New Data'!A466,'[1]New Data'!A:O,15,0)</f>
        <v>8</v>
      </c>
      <c r="J335" s="3">
        <f>VLOOKUP('[1]New Data'!A466,'[1]New Data'!A:P,16,0)</f>
        <v>74.513312209999995</v>
      </c>
      <c r="K335" s="3">
        <f>VLOOKUP('[1]New Data'!A466,'[1]New Data'!A:Q,17,0)</f>
        <v>596.10649769999998</v>
      </c>
      <c r="L335" s="3" t="str">
        <f>VLOOKUP('[1]New Data'!A335,'[1]New Data'!A:S,19,0)</f>
        <v>Electronics</v>
      </c>
      <c r="M335" s="3" t="str">
        <f>VLOOKUP('[1]New Data'!A335,'[1]New Data'!A:T,20,0)</f>
        <v>Headphones</v>
      </c>
      <c r="N335" s="5">
        <f>VLOOKUP('[1]New Data'!A466,'[1]New Data'!A:Z,25,0)</f>
        <v>2</v>
      </c>
    </row>
    <row r="336" spans="1:14" x14ac:dyDescent="0.35">
      <c r="A336" s="2">
        <v>4154386</v>
      </c>
      <c r="B336" s="2">
        <v>56726</v>
      </c>
      <c r="C336" s="2" t="s">
        <v>356</v>
      </c>
      <c r="D336" s="2" t="s">
        <v>15</v>
      </c>
      <c r="E336" s="3">
        <f>VLOOKUP('[1]New Data'!A69,'[1]New Data'!A:H,8,0)</f>
        <v>38</v>
      </c>
      <c r="F336" s="3" t="str">
        <f>VLOOKUP('[1]New Data'!A69,'[1]New Data'!A:J,10,0)</f>
        <v>Male</v>
      </c>
      <c r="G336" s="3" t="str">
        <f>VLOOKUP('[1]New Data'!A69,'[1]New Data'!A:K,11,0)</f>
        <v>Medium</v>
      </c>
      <c r="H336" s="4">
        <f>VLOOKUP('[1]New Data'!A69,'[1]New Data'!A:M,13,0)</f>
        <v>45130</v>
      </c>
      <c r="I336" s="5">
        <f>VLOOKUP('[1]New Data'!A69,'[1]New Data'!A:O,15,0)</f>
        <v>4</v>
      </c>
      <c r="J336" s="3">
        <f>VLOOKUP('[1]New Data'!A69,'[1]New Data'!A:P,16,0)</f>
        <v>148.7134709</v>
      </c>
      <c r="K336" s="3">
        <f>VLOOKUP('[1]New Data'!A69,'[1]New Data'!A:Q,17,0)</f>
        <v>594.85388350000005</v>
      </c>
      <c r="L336" s="3" t="str">
        <f>VLOOKUP('[1]New Data'!A336,'[1]New Data'!A:S,19,0)</f>
        <v>Home Decor</v>
      </c>
      <c r="M336" s="3" t="str">
        <f>VLOOKUP('[1]New Data'!A336,'[1]New Data'!A:T,20,0)</f>
        <v>Furniture</v>
      </c>
      <c r="N336" s="5">
        <f>VLOOKUP('[1]New Data'!A69,'[1]New Data'!A:Z,25,0)</f>
        <v>3</v>
      </c>
    </row>
    <row r="337" spans="1:14" hidden="1" x14ac:dyDescent="0.35">
      <c r="A337" s="2">
        <v>2670235</v>
      </c>
      <c r="B337" s="2">
        <v>23180</v>
      </c>
      <c r="C337" s="2" t="s">
        <v>357</v>
      </c>
      <c r="D337" s="2" t="s">
        <v>15</v>
      </c>
      <c r="E337" s="3">
        <f>VLOOKUP('[1]New Data'!A464,'[1]New Data'!A:H,8,0)</f>
        <v>35</v>
      </c>
      <c r="F337" s="3" t="str">
        <f>VLOOKUP('[1]New Data'!A464,'[1]New Data'!A:J,10,0)</f>
        <v>Female</v>
      </c>
      <c r="G337" s="3" t="str">
        <f>VLOOKUP('[1]New Data'!A464,'[1]New Data'!A:K,11,0)</f>
        <v>Medium</v>
      </c>
      <c r="H337" s="4">
        <f>VLOOKUP('[1]New Data'!A464,'[1]New Data'!A:M,13,0)</f>
        <v>45180</v>
      </c>
      <c r="I337" s="5">
        <f>VLOOKUP('[1]New Data'!A464,'[1]New Data'!A:O,15,0)</f>
        <v>3</v>
      </c>
      <c r="J337" s="3">
        <f>VLOOKUP('[1]New Data'!A464,'[1]New Data'!A:P,16,0)</f>
        <v>197.9684173</v>
      </c>
      <c r="K337" s="3">
        <f>VLOOKUP('[1]New Data'!A464,'[1]New Data'!A:Q,17,0)</f>
        <v>593.90525200000002</v>
      </c>
      <c r="L337" s="3" t="str">
        <f>VLOOKUP('[1]New Data'!A337,'[1]New Data'!A:S,19,0)</f>
        <v>Books</v>
      </c>
      <c r="M337" s="3" t="str">
        <f>VLOOKUP('[1]New Data'!A337,'[1]New Data'!A:T,20,0)</f>
        <v>Thriller</v>
      </c>
      <c r="N337" s="5">
        <f>VLOOKUP('[1]New Data'!A464,'[1]New Data'!A:Z,25,0)</f>
        <v>2</v>
      </c>
    </row>
    <row r="338" spans="1:14" hidden="1" x14ac:dyDescent="0.35">
      <c r="A338" s="2">
        <v>7734668</v>
      </c>
      <c r="B338" s="2">
        <v>49952</v>
      </c>
      <c r="C338" s="2" t="s">
        <v>358</v>
      </c>
      <c r="D338" s="2" t="s">
        <v>15</v>
      </c>
      <c r="E338" s="3">
        <f>VLOOKUP('[1]New Data'!A71,'[1]New Data'!A:H,8,0)</f>
        <v>26</v>
      </c>
      <c r="F338" s="3" t="str">
        <f>VLOOKUP('[1]New Data'!A71,'[1]New Data'!A:J,10,0)</f>
        <v>Female</v>
      </c>
      <c r="G338" s="3" t="str">
        <f>VLOOKUP('[1]New Data'!A71,'[1]New Data'!A:K,11,0)</f>
        <v>Medium</v>
      </c>
      <c r="H338" s="4">
        <f>VLOOKUP('[1]New Data'!A71,'[1]New Data'!A:M,13,0)</f>
        <v>45052</v>
      </c>
      <c r="I338" s="5">
        <f>VLOOKUP('[1]New Data'!A71,'[1]New Data'!A:O,15,0)</f>
        <v>10</v>
      </c>
      <c r="J338" s="3">
        <f>VLOOKUP('[1]New Data'!A71,'[1]New Data'!A:P,16,0)</f>
        <v>59.261818400000003</v>
      </c>
      <c r="K338" s="3">
        <f>VLOOKUP('[1]New Data'!A71,'[1]New Data'!A:Q,17,0)</f>
        <v>592.61818400000004</v>
      </c>
      <c r="L338" s="3" t="str">
        <f>VLOOKUP('[1]New Data'!A338,'[1]New Data'!A:S,19,0)</f>
        <v>Grocery</v>
      </c>
      <c r="M338" s="3" t="str">
        <f>VLOOKUP('[1]New Data'!A338,'[1]New Data'!A:T,20,0)</f>
        <v>Soft Drink</v>
      </c>
      <c r="N338" s="5">
        <f>VLOOKUP('[1]New Data'!A71,'[1]New Data'!A:Z,25,0)</f>
        <v>1</v>
      </c>
    </row>
    <row r="339" spans="1:14" hidden="1" x14ac:dyDescent="0.35">
      <c r="A339" s="2">
        <v>5282726</v>
      </c>
      <c r="B339" s="2">
        <v>22848</v>
      </c>
      <c r="C339" s="2" t="s">
        <v>359</v>
      </c>
      <c r="D339" s="2" t="s">
        <v>15</v>
      </c>
      <c r="E339" s="3">
        <f>VLOOKUP('[1]New Data'!A410,'[1]New Data'!A:H,8,0)</f>
        <v>51</v>
      </c>
      <c r="F339" s="3" t="str">
        <f>VLOOKUP('[1]New Data'!A410,'[1]New Data'!A:J,10,0)</f>
        <v>Male</v>
      </c>
      <c r="G339" s="3" t="str">
        <f>VLOOKUP('[1]New Data'!A410,'[1]New Data'!A:K,11,0)</f>
        <v>Low</v>
      </c>
      <c r="H339" s="4">
        <f>VLOOKUP('[1]New Data'!A410,'[1]New Data'!A:M,13,0)</f>
        <v>45069</v>
      </c>
      <c r="I339" s="5">
        <f>VLOOKUP('[1]New Data'!A410,'[1]New Data'!A:O,15,0)</f>
        <v>2</v>
      </c>
      <c r="J339" s="3">
        <f>VLOOKUP('[1]New Data'!A410,'[1]New Data'!A:P,16,0)</f>
        <v>285.34109769999998</v>
      </c>
      <c r="K339" s="3">
        <f>VLOOKUP('[1]New Data'!A410,'[1]New Data'!A:Q,17,0)</f>
        <v>570.68219539999996</v>
      </c>
      <c r="L339" s="3" t="str">
        <f>VLOOKUP('[1]New Data'!A339,'[1]New Data'!A:S,19,0)</f>
        <v>Clothing</v>
      </c>
      <c r="M339" s="3" t="str">
        <f>VLOOKUP('[1]New Data'!A339,'[1]New Data'!A:T,20,0)</f>
        <v>Shoes</v>
      </c>
      <c r="N339" s="5">
        <f>VLOOKUP('[1]New Data'!A410,'[1]New Data'!A:Z,25,0)</f>
        <v>4</v>
      </c>
    </row>
    <row r="340" spans="1:14" hidden="1" x14ac:dyDescent="0.35">
      <c r="A340" s="2">
        <v>9070447</v>
      </c>
      <c r="B340" s="2">
        <v>99870</v>
      </c>
      <c r="C340" s="2" t="s">
        <v>360</v>
      </c>
      <c r="D340" s="2" t="s">
        <v>15</v>
      </c>
      <c r="E340" s="3">
        <f>VLOOKUP('[1]New Data'!A26,'[1]New Data'!A:H,8,0)</f>
        <v>38</v>
      </c>
      <c r="F340" s="3" t="str">
        <f>VLOOKUP('[1]New Data'!A26,'[1]New Data'!A:J,10,0)</f>
        <v>Male</v>
      </c>
      <c r="G340" s="3" t="str">
        <f>VLOOKUP('[1]New Data'!A26,'[1]New Data'!A:K,11,0)</f>
        <v>Medium</v>
      </c>
      <c r="H340" s="4">
        <f>VLOOKUP('[1]New Data'!A26,'[1]New Data'!A:M,13,0)</f>
        <v>45349</v>
      </c>
      <c r="I340" s="5">
        <f>VLOOKUP('[1]New Data'!A26,'[1]New Data'!A:O,15,0)</f>
        <v>2</v>
      </c>
      <c r="J340" s="3">
        <f>VLOOKUP('[1]New Data'!A26,'[1]New Data'!A:P,16,0)</f>
        <v>285.29832970000001</v>
      </c>
      <c r="K340" s="3">
        <f>VLOOKUP('[1]New Data'!A26,'[1]New Data'!A:Q,17,0)</f>
        <v>570.59665930000006</v>
      </c>
      <c r="L340" s="3" t="str">
        <f>VLOOKUP('[1]New Data'!A340,'[1]New Data'!A:S,19,0)</f>
        <v>Clothing</v>
      </c>
      <c r="M340" s="3" t="str">
        <f>VLOOKUP('[1]New Data'!A340,'[1]New Data'!A:T,20,0)</f>
        <v>Shirt</v>
      </c>
      <c r="N340" s="5">
        <f>VLOOKUP('[1]New Data'!A26,'[1]New Data'!A:Z,25,0)</f>
        <v>1</v>
      </c>
    </row>
    <row r="341" spans="1:14" x14ac:dyDescent="0.35">
      <c r="A341" s="2">
        <v>9315490</v>
      </c>
      <c r="B341" s="2">
        <v>51531</v>
      </c>
      <c r="C341" s="2" t="s">
        <v>361</v>
      </c>
      <c r="D341" s="2" t="s">
        <v>15</v>
      </c>
      <c r="E341" s="3">
        <f>VLOOKUP('[1]New Data'!A479,'[1]New Data'!A:H,8,0)</f>
        <v>61</v>
      </c>
      <c r="F341" s="3" t="str">
        <f>VLOOKUP('[1]New Data'!A479,'[1]New Data'!A:J,10,0)</f>
        <v>Male</v>
      </c>
      <c r="G341" s="3" t="str">
        <f>VLOOKUP('[1]New Data'!A479,'[1]New Data'!A:K,11,0)</f>
        <v>High</v>
      </c>
      <c r="H341" s="4">
        <f>VLOOKUP('[1]New Data'!A479,'[1]New Data'!A:M,13,0)</f>
        <v>45123</v>
      </c>
      <c r="I341" s="5">
        <f>VLOOKUP('[1]New Data'!A479,'[1]New Data'!A:O,15,0)</f>
        <v>6</v>
      </c>
      <c r="J341" s="3">
        <f>VLOOKUP('[1]New Data'!A479,'[1]New Data'!A:P,16,0)</f>
        <v>94.218669950000006</v>
      </c>
      <c r="K341" s="3">
        <f>VLOOKUP('[1]New Data'!A479,'[1]New Data'!A:Q,17,0)</f>
        <v>565.31201969999995</v>
      </c>
      <c r="L341" s="3" t="str">
        <f>VLOOKUP('[1]New Data'!A341,'[1]New Data'!A:S,19,0)</f>
        <v>Home Decor</v>
      </c>
      <c r="M341" s="3" t="str">
        <f>VLOOKUP('[1]New Data'!A341,'[1]New Data'!A:T,20,0)</f>
        <v>Decorations</v>
      </c>
      <c r="N341" s="5">
        <f>VLOOKUP('[1]New Data'!A479,'[1]New Data'!A:Z,25,0)</f>
        <v>4</v>
      </c>
    </row>
    <row r="342" spans="1:14" x14ac:dyDescent="0.35">
      <c r="A342" s="2">
        <v>2018159</v>
      </c>
      <c r="B342" s="2">
        <v>66017</v>
      </c>
      <c r="C342" s="2" t="s">
        <v>362</v>
      </c>
      <c r="D342" s="2" t="s">
        <v>15</v>
      </c>
      <c r="E342" s="3">
        <f>VLOOKUP('[1]New Data'!A348,'[1]New Data'!A:H,8,0)</f>
        <v>22</v>
      </c>
      <c r="F342" s="3" t="str">
        <f>VLOOKUP('[1]New Data'!A348,'[1]New Data'!A:J,10,0)</f>
        <v>Male</v>
      </c>
      <c r="G342" s="3" t="str">
        <f>VLOOKUP('[1]New Data'!A348,'[1]New Data'!A:K,11,0)</f>
        <v>Low</v>
      </c>
      <c r="H342" s="4">
        <f>VLOOKUP('[1]New Data'!A348,'[1]New Data'!A:M,13,0)</f>
        <v>45274</v>
      </c>
      <c r="I342" s="5">
        <f>VLOOKUP('[1]New Data'!A348,'[1]New Data'!A:O,15,0)</f>
        <v>2</v>
      </c>
      <c r="J342" s="3">
        <f>VLOOKUP('[1]New Data'!A348,'[1]New Data'!A:P,16,0)</f>
        <v>281.61460290000002</v>
      </c>
      <c r="K342" s="3">
        <f>VLOOKUP('[1]New Data'!A348,'[1]New Data'!A:Q,17,0)</f>
        <v>563.22920580000005</v>
      </c>
      <c r="L342" s="3" t="str">
        <f>VLOOKUP('[1]New Data'!A342,'[1]New Data'!A:S,19,0)</f>
        <v>Home Decor</v>
      </c>
      <c r="M342" s="3" t="str">
        <f>VLOOKUP('[1]New Data'!A342,'[1]New Data'!A:T,20,0)</f>
        <v>Tools</v>
      </c>
      <c r="N342" s="5">
        <f>VLOOKUP('[1]New Data'!A348,'[1]New Data'!A:Z,25,0)</f>
        <v>3</v>
      </c>
    </row>
    <row r="343" spans="1:14" hidden="1" x14ac:dyDescent="0.35">
      <c r="A343" s="2">
        <v>9786592</v>
      </c>
      <c r="B343" s="2">
        <v>71257</v>
      </c>
      <c r="C343" s="2" t="s">
        <v>363</v>
      </c>
      <c r="D343" s="2" t="s">
        <v>15</v>
      </c>
      <c r="E343" s="3">
        <f>VLOOKUP('[1]New Data'!A54,'[1]New Data'!A:H,8,0)</f>
        <v>59</v>
      </c>
      <c r="F343" s="3" t="str">
        <f>VLOOKUP('[1]New Data'!A54,'[1]New Data'!A:J,10,0)</f>
        <v>Male</v>
      </c>
      <c r="G343" s="3" t="str">
        <f>VLOOKUP('[1]New Data'!A54,'[1]New Data'!A:K,11,0)</f>
        <v>High</v>
      </c>
      <c r="H343" s="4">
        <f>VLOOKUP('[1]New Data'!A54,'[1]New Data'!A:M,13,0)</f>
        <v>45132</v>
      </c>
      <c r="I343" s="5">
        <f>VLOOKUP('[1]New Data'!A54,'[1]New Data'!A:O,15,0)</f>
        <v>2</v>
      </c>
      <c r="J343" s="3">
        <f>VLOOKUP('[1]New Data'!A54,'[1]New Data'!A:P,16,0)</f>
        <v>281.6001693</v>
      </c>
      <c r="K343" s="3">
        <f>VLOOKUP('[1]New Data'!A54,'[1]New Data'!A:Q,17,0)</f>
        <v>563.20033869999997</v>
      </c>
      <c r="L343" s="3" t="str">
        <f>VLOOKUP('[1]New Data'!A343,'[1]New Data'!A:S,19,0)</f>
        <v>Books</v>
      </c>
      <c r="M343" s="3" t="str">
        <f>VLOOKUP('[1]New Data'!A343,'[1]New Data'!A:T,20,0)</f>
        <v>Thriller</v>
      </c>
      <c r="N343" s="5">
        <f>VLOOKUP('[1]New Data'!A54,'[1]New Data'!A:Z,25,0)</f>
        <v>2</v>
      </c>
    </row>
    <row r="344" spans="1:14" hidden="1" x14ac:dyDescent="0.35">
      <c r="A344" s="2">
        <v>3101006</v>
      </c>
      <c r="B344" s="2">
        <v>59411</v>
      </c>
      <c r="C344" s="2" t="s">
        <v>364</v>
      </c>
      <c r="D344" s="2" t="s">
        <v>15</v>
      </c>
      <c r="E344" s="3">
        <f>VLOOKUP('[1]New Data'!A88,'[1]New Data'!A:H,8,0)</f>
        <v>61</v>
      </c>
      <c r="F344" s="3" t="str">
        <f>VLOOKUP('[1]New Data'!A88,'[1]New Data'!A:J,10,0)</f>
        <v>Male</v>
      </c>
      <c r="G344" s="3" t="str">
        <f>VLOOKUP('[1]New Data'!A88,'[1]New Data'!A:K,11,0)</f>
        <v>Low</v>
      </c>
      <c r="H344" s="4">
        <f>VLOOKUP('[1]New Data'!A88,'[1]New Data'!A:M,13,0)</f>
        <v>45231</v>
      </c>
      <c r="I344" s="5">
        <f>VLOOKUP('[1]New Data'!A88,'[1]New Data'!A:O,15,0)</f>
        <v>10</v>
      </c>
      <c r="J344" s="3">
        <f>VLOOKUP('[1]New Data'!A88,'[1]New Data'!A:P,16,0)</f>
        <v>55.057465299999997</v>
      </c>
      <c r="K344" s="3">
        <f>VLOOKUP('[1]New Data'!A88,'[1]New Data'!A:Q,17,0)</f>
        <v>550.57465300000001</v>
      </c>
      <c r="L344" s="3" t="str">
        <f>VLOOKUP('[1]New Data'!A344,'[1]New Data'!A:S,19,0)</f>
        <v>Grocery</v>
      </c>
      <c r="M344" s="3" t="str">
        <f>VLOOKUP('[1]New Data'!A344,'[1]New Data'!A:T,20,0)</f>
        <v>Soft Drink</v>
      </c>
      <c r="N344" s="5">
        <f>VLOOKUP('[1]New Data'!A88,'[1]New Data'!A:Z,25,0)</f>
        <v>2</v>
      </c>
    </row>
    <row r="345" spans="1:14" hidden="1" x14ac:dyDescent="0.35">
      <c r="A345" s="2">
        <v>3421899</v>
      </c>
      <c r="B345" s="2">
        <v>62301</v>
      </c>
      <c r="C345" s="2" t="s">
        <v>365</v>
      </c>
      <c r="D345" s="2" t="s">
        <v>15</v>
      </c>
      <c r="E345" s="3">
        <f>VLOOKUP('[1]New Data'!A258,'[1]New Data'!A:H,8,0)</f>
        <v>50</v>
      </c>
      <c r="F345" s="3" t="str">
        <f>VLOOKUP('[1]New Data'!A258,'[1]New Data'!A:J,10,0)</f>
        <v>Female</v>
      </c>
      <c r="G345" s="3" t="str">
        <f>VLOOKUP('[1]New Data'!A258,'[1]New Data'!A:K,11,0)</f>
        <v>Low</v>
      </c>
      <c r="H345" s="4">
        <f>VLOOKUP('[1]New Data'!A258,'[1]New Data'!A:M,13,0)</f>
        <v>45135</v>
      </c>
      <c r="I345" s="5">
        <f>VLOOKUP('[1]New Data'!A258,'[1]New Data'!A:O,15,0)</f>
        <v>7</v>
      </c>
      <c r="J345" s="3">
        <f>VLOOKUP('[1]New Data'!A258,'[1]New Data'!A:P,16,0)</f>
        <v>78.219126200000005</v>
      </c>
      <c r="K345" s="3">
        <f>VLOOKUP('[1]New Data'!A258,'[1]New Data'!A:Q,17,0)</f>
        <v>547.53388340000004</v>
      </c>
      <c r="L345" s="3" t="str">
        <f>VLOOKUP('[1]New Data'!A345,'[1]New Data'!A:S,19,0)</f>
        <v>Books</v>
      </c>
      <c r="M345" s="3" t="str">
        <f>VLOOKUP('[1]New Data'!A345,'[1]New Data'!A:T,20,0)</f>
        <v>Fiction</v>
      </c>
      <c r="N345" s="5">
        <f>VLOOKUP('[1]New Data'!A258,'[1]New Data'!A:Z,25,0)</f>
        <v>3</v>
      </c>
    </row>
    <row r="346" spans="1:14" hidden="1" x14ac:dyDescent="0.35">
      <c r="A346" s="2">
        <v>6201345</v>
      </c>
      <c r="B346" s="2">
        <v>11789</v>
      </c>
      <c r="C346" s="2" t="s">
        <v>366</v>
      </c>
      <c r="D346" s="2" t="s">
        <v>15</v>
      </c>
      <c r="E346" s="3">
        <f>VLOOKUP('[1]New Data'!A473,'[1]New Data'!A:H,8,0)</f>
        <v>69</v>
      </c>
      <c r="F346" s="3" t="str">
        <f>VLOOKUP('[1]New Data'!A473,'[1]New Data'!A:J,10,0)</f>
        <v>Male</v>
      </c>
      <c r="G346" s="3" t="str">
        <f>VLOOKUP('[1]New Data'!A473,'[1]New Data'!A:K,11,0)</f>
        <v>High</v>
      </c>
      <c r="H346" s="4">
        <f>VLOOKUP('[1]New Data'!A473,'[1]New Data'!A:M,13,0)</f>
        <v>45096</v>
      </c>
      <c r="I346" s="5">
        <f>VLOOKUP('[1]New Data'!A473,'[1]New Data'!A:O,15,0)</f>
        <v>9</v>
      </c>
      <c r="J346" s="3">
        <f>VLOOKUP('[1]New Data'!A473,'[1]New Data'!A:P,16,0)</f>
        <v>59.185496479999998</v>
      </c>
      <c r="K346" s="3">
        <f>VLOOKUP('[1]New Data'!A473,'[1]New Data'!A:Q,17,0)</f>
        <v>532.66946840000003</v>
      </c>
      <c r="L346" s="3" t="str">
        <f>VLOOKUP('[1]New Data'!A346,'[1]New Data'!A:S,19,0)</f>
        <v>Electronics</v>
      </c>
      <c r="M346" s="3" t="str">
        <f>VLOOKUP('[1]New Data'!A346,'[1]New Data'!A:T,20,0)</f>
        <v>Television</v>
      </c>
      <c r="N346" s="5">
        <f>VLOOKUP('[1]New Data'!A473,'[1]New Data'!A:Z,25,0)</f>
        <v>5</v>
      </c>
    </row>
    <row r="347" spans="1:14" hidden="1" x14ac:dyDescent="0.35">
      <c r="A347" s="2">
        <v>6857160</v>
      </c>
      <c r="B347" s="2">
        <v>50574</v>
      </c>
      <c r="C347" s="2" t="s">
        <v>367</v>
      </c>
      <c r="D347" s="2" t="s">
        <v>15</v>
      </c>
      <c r="E347" s="3">
        <f>VLOOKUP('[1]New Data'!A56,'[1]New Data'!A:H,8,0)</f>
        <v>46</v>
      </c>
      <c r="F347" s="3" t="str">
        <f>VLOOKUP('[1]New Data'!A56,'[1]New Data'!A:J,10,0)</f>
        <v>Male</v>
      </c>
      <c r="G347" s="3" t="str">
        <f>VLOOKUP('[1]New Data'!A56,'[1]New Data'!A:K,11,0)</f>
        <v>Low</v>
      </c>
      <c r="H347" s="4">
        <f>VLOOKUP('[1]New Data'!A56,'[1]New Data'!A:M,13,0)</f>
        <v>45216</v>
      </c>
      <c r="I347" s="5">
        <f>VLOOKUP('[1]New Data'!A56,'[1]New Data'!A:O,15,0)</f>
        <v>4</v>
      </c>
      <c r="J347" s="3">
        <f>VLOOKUP('[1]New Data'!A56,'[1]New Data'!A:P,16,0)</f>
        <v>129.7569724</v>
      </c>
      <c r="K347" s="3">
        <f>VLOOKUP('[1]New Data'!A56,'[1]New Data'!A:Q,17,0)</f>
        <v>519.02788950000001</v>
      </c>
      <c r="L347" s="3" t="str">
        <f>VLOOKUP('[1]New Data'!A347,'[1]New Data'!A:S,19,0)</f>
        <v>Books</v>
      </c>
      <c r="M347" s="3" t="str">
        <f>VLOOKUP('[1]New Data'!A347,'[1]New Data'!A:T,20,0)</f>
        <v>Non-Fiction</v>
      </c>
      <c r="N347" s="5">
        <f>VLOOKUP('[1]New Data'!A56,'[1]New Data'!A:Z,25,0)</f>
        <v>1</v>
      </c>
    </row>
    <row r="348" spans="1:14" x14ac:dyDescent="0.35">
      <c r="A348" s="2">
        <v>3462909</v>
      </c>
      <c r="B348" s="2">
        <v>15597</v>
      </c>
      <c r="C348" s="2" t="s">
        <v>368</v>
      </c>
      <c r="D348" s="2" t="s">
        <v>15</v>
      </c>
      <c r="E348" s="3">
        <f>VLOOKUP('[1]New Data'!A325,'[1]New Data'!A:H,8,0)</f>
        <v>52</v>
      </c>
      <c r="F348" s="3" t="str">
        <f>VLOOKUP('[1]New Data'!A325,'[1]New Data'!A:J,10,0)</f>
        <v>Female</v>
      </c>
      <c r="G348" s="3" t="str">
        <f>VLOOKUP('[1]New Data'!A325,'[1]New Data'!A:K,11,0)</f>
        <v>Medium</v>
      </c>
      <c r="H348" s="4">
        <f>VLOOKUP('[1]New Data'!A325,'[1]New Data'!A:M,13,0)</f>
        <v>45043</v>
      </c>
      <c r="I348" s="5">
        <f>VLOOKUP('[1]New Data'!A325,'[1]New Data'!A:O,15,0)</f>
        <v>2</v>
      </c>
      <c r="J348" s="3">
        <f>VLOOKUP('[1]New Data'!A325,'[1]New Data'!A:P,16,0)</f>
        <v>258.41882279999999</v>
      </c>
      <c r="K348" s="3">
        <f>VLOOKUP('[1]New Data'!A325,'[1]New Data'!A:Q,17,0)</f>
        <v>516.83764559999997</v>
      </c>
      <c r="L348" s="3" t="str">
        <f>VLOOKUP('[1]New Data'!A348,'[1]New Data'!A:S,19,0)</f>
        <v>Home Decor</v>
      </c>
      <c r="M348" s="3" t="str">
        <f>VLOOKUP('[1]New Data'!A348,'[1]New Data'!A:T,20,0)</f>
        <v>Tools</v>
      </c>
      <c r="N348" s="5">
        <f>VLOOKUP('[1]New Data'!A325,'[1]New Data'!A:Z,25,0)</f>
        <v>5</v>
      </c>
    </row>
    <row r="349" spans="1:14" x14ac:dyDescent="0.35">
      <c r="A349" s="2">
        <v>2300962</v>
      </c>
      <c r="B349" s="2">
        <v>11602</v>
      </c>
      <c r="C349" s="2" t="s">
        <v>369</v>
      </c>
      <c r="D349" s="2" t="s">
        <v>15</v>
      </c>
      <c r="E349" s="3">
        <f>VLOOKUP('[1]New Data'!A145,'[1]New Data'!A:H,8,0)</f>
        <v>37</v>
      </c>
      <c r="F349" s="3" t="str">
        <f>VLOOKUP('[1]New Data'!A145,'[1]New Data'!A:J,10,0)</f>
        <v>Male</v>
      </c>
      <c r="G349" s="3" t="str">
        <f>VLOOKUP('[1]New Data'!A145,'[1]New Data'!A:K,11,0)</f>
        <v>Low</v>
      </c>
      <c r="H349" s="4">
        <f>VLOOKUP('[1]New Data'!A145,'[1]New Data'!A:M,13,0)</f>
        <v>45273</v>
      </c>
      <c r="I349" s="5">
        <f>VLOOKUP('[1]New Data'!A145,'[1]New Data'!A:O,15,0)</f>
        <v>4</v>
      </c>
      <c r="J349" s="3">
        <f>VLOOKUP('[1]New Data'!A145,'[1]New Data'!A:P,16,0)</f>
        <v>126.8194883</v>
      </c>
      <c r="K349" s="3">
        <f>VLOOKUP('[1]New Data'!A145,'[1]New Data'!A:Q,17,0)</f>
        <v>507.27795309999999</v>
      </c>
      <c r="L349" s="3" t="str">
        <f>VLOOKUP('[1]New Data'!A349,'[1]New Data'!A:S,19,0)</f>
        <v>Home Decor</v>
      </c>
      <c r="M349" s="3" t="str">
        <f>VLOOKUP('[1]New Data'!A349,'[1]New Data'!A:T,20,0)</f>
        <v>Furniture</v>
      </c>
      <c r="N349" s="5">
        <f>VLOOKUP('[1]New Data'!A145,'[1]New Data'!A:Z,25,0)</f>
        <v>4</v>
      </c>
    </row>
    <row r="350" spans="1:14" x14ac:dyDescent="0.35">
      <c r="A350" s="2">
        <v>1566437</v>
      </c>
      <c r="B350" s="2">
        <v>23547</v>
      </c>
      <c r="C350" s="2" t="s">
        <v>370</v>
      </c>
      <c r="D350" s="2" t="s">
        <v>15</v>
      </c>
      <c r="E350" s="3">
        <f>VLOOKUP('[1]New Data'!A425,'[1]New Data'!A:H,8,0)</f>
        <v>21</v>
      </c>
      <c r="F350" s="3" t="str">
        <f>VLOOKUP('[1]New Data'!A425,'[1]New Data'!A:J,10,0)</f>
        <v>Female</v>
      </c>
      <c r="G350" s="3" t="str">
        <f>VLOOKUP('[1]New Data'!A425,'[1]New Data'!A:K,11,0)</f>
        <v>Low</v>
      </c>
      <c r="H350" s="4">
        <f>VLOOKUP('[1]New Data'!A425,'[1]New Data'!A:M,13,0)</f>
        <v>45250</v>
      </c>
      <c r="I350" s="5">
        <f>VLOOKUP('[1]New Data'!A425,'[1]New Data'!A:O,15,0)</f>
        <v>2</v>
      </c>
      <c r="J350" s="3">
        <f>VLOOKUP('[1]New Data'!A425,'[1]New Data'!A:P,16,0)</f>
        <v>253.56382840000001</v>
      </c>
      <c r="K350" s="3">
        <f>VLOOKUP('[1]New Data'!A425,'[1]New Data'!A:Q,17,0)</f>
        <v>507.12765669999999</v>
      </c>
      <c r="L350" s="3" t="str">
        <f>VLOOKUP('[1]New Data'!A350,'[1]New Data'!A:S,19,0)</f>
        <v>Home Decor</v>
      </c>
      <c r="M350" s="3" t="str">
        <f>VLOOKUP('[1]New Data'!A350,'[1]New Data'!A:T,20,0)</f>
        <v>Lighting</v>
      </c>
      <c r="N350" s="5">
        <f>VLOOKUP('[1]New Data'!A425,'[1]New Data'!A:Z,25,0)</f>
        <v>1</v>
      </c>
    </row>
    <row r="351" spans="1:14" x14ac:dyDescent="0.35">
      <c r="A351" s="2">
        <v>8243427</v>
      </c>
      <c r="B351" s="2">
        <v>79548</v>
      </c>
      <c r="C351" s="2" t="s">
        <v>371</v>
      </c>
      <c r="D351" s="2" t="s">
        <v>15</v>
      </c>
      <c r="E351" s="3">
        <f>VLOOKUP('[1]New Data'!A324,'[1]New Data'!A:H,8,0)</f>
        <v>25</v>
      </c>
      <c r="F351" s="3" t="str">
        <f>VLOOKUP('[1]New Data'!A324,'[1]New Data'!A:J,10,0)</f>
        <v>Male</v>
      </c>
      <c r="G351" s="3" t="str">
        <f>VLOOKUP('[1]New Data'!A324,'[1]New Data'!A:K,11,0)</f>
        <v>Low</v>
      </c>
      <c r="H351" s="4">
        <f>VLOOKUP('[1]New Data'!A324,'[1]New Data'!A:M,13,0)</f>
        <v>45193</v>
      </c>
      <c r="I351" s="5">
        <f>VLOOKUP('[1]New Data'!A324,'[1]New Data'!A:O,15,0)</f>
        <v>2</v>
      </c>
      <c r="J351" s="3">
        <f>VLOOKUP('[1]New Data'!A324,'[1]New Data'!A:P,16,0)</f>
        <v>248.97491410000001</v>
      </c>
      <c r="K351" s="3">
        <f>VLOOKUP('[1]New Data'!A324,'[1]New Data'!A:Q,17,0)</f>
        <v>497.94982820000001</v>
      </c>
      <c r="L351" s="3" t="str">
        <f>VLOOKUP('[1]New Data'!A351,'[1]New Data'!A:S,19,0)</f>
        <v>Home Decor</v>
      </c>
      <c r="M351" s="3" t="str">
        <f>VLOOKUP('[1]New Data'!A351,'[1]New Data'!A:T,20,0)</f>
        <v>Furniture</v>
      </c>
      <c r="N351" s="5">
        <f>VLOOKUP('[1]New Data'!A324,'[1]New Data'!A:Z,25,0)</f>
        <v>1</v>
      </c>
    </row>
    <row r="352" spans="1:14" hidden="1" x14ac:dyDescent="0.35">
      <c r="A352" s="2">
        <v>4122058</v>
      </c>
      <c r="B352" s="2">
        <v>47483</v>
      </c>
      <c r="C352" s="2" t="s">
        <v>372</v>
      </c>
      <c r="D352" s="2" t="s">
        <v>15</v>
      </c>
      <c r="E352" s="3">
        <f>VLOOKUP('[1]New Data'!A182,'[1]New Data'!A:H,8,0)</f>
        <v>68</v>
      </c>
      <c r="F352" s="3" t="str">
        <f>VLOOKUP('[1]New Data'!A182,'[1]New Data'!A:J,10,0)</f>
        <v>Female</v>
      </c>
      <c r="G352" s="3" t="str">
        <f>VLOOKUP('[1]New Data'!A182,'[1]New Data'!A:K,11,0)</f>
        <v>Medium</v>
      </c>
      <c r="H352" s="4">
        <f>VLOOKUP('[1]New Data'!A182,'[1]New Data'!A:M,13,0)</f>
        <v>45017</v>
      </c>
      <c r="I352" s="5">
        <f>VLOOKUP('[1]New Data'!A182,'[1]New Data'!A:O,15,0)</f>
        <v>2</v>
      </c>
      <c r="J352" s="3">
        <f>VLOOKUP('[1]New Data'!A182,'[1]New Data'!A:P,16,0)</f>
        <v>248.59145229999999</v>
      </c>
      <c r="K352" s="3">
        <f>VLOOKUP('[1]New Data'!A182,'[1]New Data'!A:Q,17,0)</f>
        <v>497.18290450000001</v>
      </c>
      <c r="L352" s="3" t="str">
        <f>VLOOKUP('[1]New Data'!A352,'[1]New Data'!A:S,19,0)</f>
        <v>Grocery</v>
      </c>
      <c r="M352" s="3" t="str">
        <f>VLOOKUP('[1]New Data'!A352,'[1]New Data'!A:T,20,0)</f>
        <v>Soft Drink</v>
      </c>
      <c r="N352" s="5">
        <f>VLOOKUP('[1]New Data'!A182,'[1]New Data'!A:Z,25,0)</f>
        <v>5</v>
      </c>
    </row>
    <row r="353" spans="1:14" hidden="1" x14ac:dyDescent="0.35">
      <c r="A353" s="2">
        <v>8871239</v>
      </c>
      <c r="B353" s="2">
        <v>84806</v>
      </c>
      <c r="C353" s="2" t="s">
        <v>373</v>
      </c>
      <c r="D353" s="2" t="s">
        <v>15</v>
      </c>
      <c r="E353" s="3">
        <f>VLOOKUP('[1]New Data'!A143,'[1]New Data'!A:H,8,0)</f>
        <v>60</v>
      </c>
      <c r="F353" s="3" t="str">
        <f>VLOOKUP('[1]New Data'!A143,'[1]New Data'!A:J,10,0)</f>
        <v>Female</v>
      </c>
      <c r="G353" s="3" t="str">
        <f>VLOOKUP('[1]New Data'!A143,'[1]New Data'!A:K,11,0)</f>
        <v>Medium</v>
      </c>
      <c r="H353" s="4">
        <f>VLOOKUP('[1]New Data'!A143,'[1]New Data'!A:M,13,0)</f>
        <v>45162</v>
      </c>
      <c r="I353" s="5">
        <f>VLOOKUP('[1]New Data'!A143,'[1]New Data'!A:O,15,0)</f>
        <v>4</v>
      </c>
      <c r="J353" s="3">
        <f>VLOOKUP('[1]New Data'!A143,'[1]New Data'!A:P,16,0)</f>
        <v>123.0183684</v>
      </c>
      <c r="K353" s="3">
        <f>VLOOKUP('[1]New Data'!A143,'[1]New Data'!A:Q,17,0)</f>
        <v>492.0734736</v>
      </c>
      <c r="L353" s="3" t="str">
        <f>VLOOKUP('[1]New Data'!A353,'[1]New Data'!A:S,19,0)</f>
        <v>Books</v>
      </c>
      <c r="M353" s="3" t="str">
        <f>VLOOKUP('[1]New Data'!A353,'[1]New Data'!A:T,20,0)</f>
        <v>Literature</v>
      </c>
      <c r="N353" s="5">
        <f>VLOOKUP('[1]New Data'!A143,'[1]New Data'!A:Z,25,0)</f>
        <v>1</v>
      </c>
    </row>
    <row r="354" spans="1:14" x14ac:dyDescent="0.35">
      <c r="A354" s="2">
        <v>7636359</v>
      </c>
      <c r="B354" s="2">
        <v>31763</v>
      </c>
      <c r="C354" s="2" t="s">
        <v>374</v>
      </c>
      <c r="D354" s="2" t="s">
        <v>15</v>
      </c>
      <c r="E354" s="3">
        <f>VLOOKUP('[1]New Data'!A341,'[1]New Data'!A:H,8,0)</f>
        <v>54</v>
      </c>
      <c r="F354" s="3" t="str">
        <f>VLOOKUP('[1]New Data'!A341,'[1]New Data'!A:J,10,0)</f>
        <v>Male</v>
      </c>
      <c r="G354" s="3" t="str">
        <f>VLOOKUP('[1]New Data'!A341,'[1]New Data'!A:K,11,0)</f>
        <v>Medium</v>
      </c>
      <c r="H354" s="4">
        <f>VLOOKUP('[1]New Data'!A341,'[1]New Data'!A:M,13,0)</f>
        <v>45172</v>
      </c>
      <c r="I354" s="5">
        <f>VLOOKUP('[1]New Data'!A341,'[1]New Data'!A:O,15,0)</f>
        <v>5</v>
      </c>
      <c r="J354" s="3">
        <f>VLOOKUP('[1]New Data'!A341,'[1]New Data'!A:P,16,0)</f>
        <v>98.033748329999995</v>
      </c>
      <c r="K354" s="3">
        <f>VLOOKUP('[1]New Data'!A341,'[1]New Data'!A:Q,17,0)</f>
        <v>490.16874159999998</v>
      </c>
      <c r="L354" s="3" t="str">
        <f>VLOOKUP('[1]New Data'!A354,'[1]New Data'!A:S,19,0)</f>
        <v>Home Decor</v>
      </c>
      <c r="M354" s="3" t="str">
        <f>VLOOKUP('[1]New Data'!A354,'[1]New Data'!A:T,20,0)</f>
        <v>Kitchen</v>
      </c>
      <c r="N354" s="5">
        <f>VLOOKUP('[1]New Data'!A341,'[1]New Data'!A:Z,25,0)</f>
        <v>3</v>
      </c>
    </row>
    <row r="355" spans="1:14" hidden="1" x14ac:dyDescent="0.35">
      <c r="A355" s="2">
        <v>3882390</v>
      </c>
      <c r="B355" s="2">
        <v>89973</v>
      </c>
      <c r="C355" s="2" t="s">
        <v>375</v>
      </c>
      <c r="D355" s="2" t="s">
        <v>15</v>
      </c>
      <c r="E355" s="3">
        <f>VLOOKUP('[1]New Data'!A471,'[1]New Data'!A:H,8,0)</f>
        <v>70</v>
      </c>
      <c r="F355" s="3" t="str">
        <f>VLOOKUP('[1]New Data'!A471,'[1]New Data'!A:J,10,0)</f>
        <v>Female</v>
      </c>
      <c r="G355" s="3" t="str">
        <f>VLOOKUP('[1]New Data'!A471,'[1]New Data'!A:K,11,0)</f>
        <v>Low</v>
      </c>
      <c r="H355" s="4">
        <f>VLOOKUP('[1]New Data'!A471,'[1]New Data'!A:M,13,0)</f>
        <v>45186</v>
      </c>
      <c r="I355" s="5">
        <f>VLOOKUP('[1]New Data'!A471,'[1]New Data'!A:O,15,0)</f>
        <v>4</v>
      </c>
      <c r="J355" s="3">
        <f>VLOOKUP('[1]New Data'!A471,'[1]New Data'!A:P,16,0)</f>
        <v>120.9730613</v>
      </c>
      <c r="K355" s="3">
        <f>VLOOKUP('[1]New Data'!A471,'[1]New Data'!A:Q,17,0)</f>
        <v>483.89224510000003</v>
      </c>
      <c r="L355" s="3" t="str">
        <f>VLOOKUP('[1]New Data'!A355,'[1]New Data'!A:S,19,0)</f>
        <v>Clothing</v>
      </c>
      <c r="M355" s="3" t="str">
        <f>VLOOKUP('[1]New Data'!A355,'[1]New Data'!A:T,20,0)</f>
        <v>Jacket</v>
      </c>
      <c r="N355" s="5">
        <f>VLOOKUP('[1]New Data'!A471,'[1]New Data'!A:Z,25,0)</f>
        <v>2</v>
      </c>
    </row>
    <row r="356" spans="1:14" hidden="1" x14ac:dyDescent="0.35">
      <c r="A356" s="2">
        <v>4110889</v>
      </c>
      <c r="B356" s="2">
        <v>15891</v>
      </c>
      <c r="C356" s="2" t="s">
        <v>376</v>
      </c>
      <c r="D356" s="2" t="s">
        <v>15</v>
      </c>
      <c r="E356" s="3">
        <f>VLOOKUP('[1]New Data'!A366,'[1]New Data'!A:H,8,0)</f>
        <v>35</v>
      </c>
      <c r="F356" s="3" t="str">
        <f>VLOOKUP('[1]New Data'!A366,'[1]New Data'!A:J,10,0)</f>
        <v>Male</v>
      </c>
      <c r="G356" s="3" t="str">
        <f>VLOOKUP('[1]New Data'!A366,'[1]New Data'!A:K,11,0)</f>
        <v>Medium</v>
      </c>
      <c r="H356" s="4">
        <f>VLOOKUP('[1]New Data'!A366,'[1]New Data'!A:M,13,0)</f>
        <v>45034</v>
      </c>
      <c r="I356" s="5">
        <f>VLOOKUP('[1]New Data'!A366,'[1]New Data'!A:O,15,0)</f>
        <v>1</v>
      </c>
      <c r="J356" s="3">
        <f>VLOOKUP('[1]New Data'!A366,'[1]New Data'!A:P,16,0)</f>
        <v>481.25794130000003</v>
      </c>
      <c r="K356" s="3">
        <f>VLOOKUP('[1]New Data'!A366,'[1]New Data'!A:Q,17,0)</f>
        <v>481.25794130000003</v>
      </c>
      <c r="L356" s="3" t="str">
        <f>VLOOKUP('[1]New Data'!A356,'[1]New Data'!A:S,19,0)</f>
        <v>Grocery</v>
      </c>
      <c r="M356" s="3" t="str">
        <f>VLOOKUP('[1]New Data'!A356,'[1]New Data'!A:T,20,0)</f>
        <v>Water</v>
      </c>
      <c r="N356" s="5">
        <f>VLOOKUP('[1]New Data'!A366,'[1]New Data'!A:Z,25,0)</f>
        <v>2</v>
      </c>
    </row>
    <row r="357" spans="1:14" hidden="1" x14ac:dyDescent="0.35">
      <c r="A357" s="2">
        <v>3413296</v>
      </c>
      <c r="B357" s="2">
        <v>98256</v>
      </c>
      <c r="C357" s="2" t="s">
        <v>377</v>
      </c>
      <c r="D357" s="2" t="s">
        <v>15</v>
      </c>
      <c r="E357" s="3">
        <f>VLOOKUP('[1]New Data'!A32,'[1]New Data'!A:H,8,0)</f>
        <v>26</v>
      </c>
      <c r="F357" s="3" t="str">
        <f>VLOOKUP('[1]New Data'!A32,'[1]New Data'!A:J,10,0)</f>
        <v>Female</v>
      </c>
      <c r="G357" s="3" t="str">
        <f>VLOOKUP('[1]New Data'!A32,'[1]New Data'!A:K,11,0)</f>
        <v>Low</v>
      </c>
      <c r="H357" s="4">
        <f>VLOOKUP('[1]New Data'!A32,'[1]New Data'!A:M,13,0)</f>
        <v>45328</v>
      </c>
      <c r="I357" s="5">
        <f>VLOOKUP('[1]New Data'!A32,'[1]New Data'!A:O,15,0)</f>
        <v>3</v>
      </c>
      <c r="J357" s="3">
        <f>VLOOKUP('[1]New Data'!A32,'[1]New Data'!A:P,16,0)</f>
        <v>159.80419330000001</v>
      </c>
      <c r="K357" s="3">
        <f>VLOOKUP('[1]New Data'!A32,'[1]New Data'!A:Q,17,0)</f>
        <v>479.41257990000003</v>
      </c>
      <c r="L357" s="3" t="str">
        <f>VLOOKUP('[1]New Data'!A357,'[1]New Data'!A:S,19,0)</f>
        <v>Books</v>
      </c>
      <c r="M357" s="3" t="str">
        <f>VLOOKUP('[1]New Data'!A357,'[1]New Data'!A:T,20,0)</f>
        <v>Non-Fiction</v>
      </c>
      <c r="N357" s="5">
        <f>VLOOKUP('[1]New Data'!A32,'[1]New Data'!A:Z,25,0)</f>
        <v>3</v>
      </c>
    </row>
    <row r="358" spans="1:14" x14ac:dyDescent="0.35">
      <c r="A358" s="2">
        <v>2946521</v>
      </c>
      <c r="B358" s="2">
        <v>66660</v>
      </c>
      <c r="C358" s="2" t="s">
        <v>378</v>
      </c>
      <c r="D358" s="2" t="s">
        <v>15</v>
      </c>
      <c r="E358" s="3">
        <f>VLOOKUP('[1]New Data'!A185,'[1]New Data'!A:H,8,0)</f>
        <v>47</v>
      </c>
      <c r="F358" s="3" t="str">
        <f>VLOOKUP('[1]New Data'!A185,'[1]New Data'!A:J,10,0)</f>
        <v>Female</v>
      </c>
      <c r="G358" s="3" t="str">
        <f>VLOOKUP('[1]New Data'!A185,'[1]New Data'!A:K,11,0)</f>
        <v>Medium</v>
      </c>
      <c r="H358" s="4">
        <f>VLOOKUP('[1]New Data'!A185,'[1]New Data'!A:M,13,0)</f>
        <v>45226</v>
      </c>
      <c r="I358" s="5">
        <f>VLOOKUP('[1]New Data'!A185,'[1]New Data'!A:O,15,0)</f>
        <v>1</v>
      </c>
      <c r="J358" s="3">
        <f>VLOOKUP('[1]New Data'!A185,'[1]New Data'!A:P,16,0)</f>
        <v>478.4058455</v>
      </c>
      <c r="K358" s="3">
        <f>VLOOKUP('[1]New Data'!A185,'[1]New Data'!A:Q,17,0)</f>
        <v>478.4058455</v>
      </c>
      <c r="L358" s="3" t="str">
        <f>VLOOKUP('[1]New Data'!A358,'[1]New Data'!A:S,19,0)</f>
        <v>Home Decor</v>
      </c>
      <c r="M358" s="3" t="str">
        <f>VLOOKUP('[1]New Data'!A358,'[1]New Data'!A:T,20,0)</f>
        <v>Kitchen</v>
      </c>
      <c r="N358" s="5">
        <f>VLOOKUP('[1]New Data'!A185,'[1]New Data'!A:Z,25,0)</f>
        <v>1</v>
      </c>
    </row>
    <row r="359" spans="1:14" hidden="1" x14ac:dyDescent="0.35">
      <c r="A359" s="2">
        <v>2145553</v>
      </c>
      <c r="B359" s="2">
        <v>60481</v>
      </c>
      <c r="C359" s="2" t="s">
        <v>379</v>
      </c>
      <c r="D359" s="2" t="s">
        <v>15</v>
      </c>
      <c r="E359" s="3">
        <f>VLOOKUP('[1]New Data'!A312,'[1]New Data'!A:H,8,0)</f>
        <v>43</v>
      </c>
      <c r="F359" s="3" t="str">
        <f>VLOOKUP('[1]New Data'!A312,'[1]New Data'!A:J,10,0)</f>
        <v>Female</v>
      </c>
      <c r="G359" s="3" t="str">
        <f>VLOOKUP('[1]New Data'!A312,'[1]New Data'!A:K,11,0)</f>
        <v>Low</v>
      </c>
      <c r="H359" s="4">
        <f>VLOOKUP('[1]New Data'!A312,'[1]New Data'!A:M,13,0)</f>
        <v>45011</v>
      </c>
      <c r="I359" s="5">
        <f>VLOOKUP('[1]New Data'!A312,'[1]New Data'!A:O,15,0)</f>
        <v>1</v>
      </c>
      <c r="J359" s="3">
        <f>VLOOKUP('[1]New Data'!A312,'[1]New Data'!A:P,16,0)</f>
        <v>474.64672250000001</v>
      </c>
      <c r="K359" s="3">
        <f>VLOOKUP('[1]New Data'!A312,'[1]New Data'!A:Q,17,0)</f>
        <v>474.64672250000001</v>
      </c>
      <c r="L359" s="3" t="str">
        <f>VLOOKUP('[1]New Data'!A359,'[1]New Data'!A:S,19,0)</f>
        <v>Clothing</v>
      </c>
      <c r="M359" s="3" t="str">
        <f>VLOOKUP('[1]New Data'!A359,'[1]New Data'!A:T,20,0)</f>
        <v>T-shirt</v>
      </c>
      <c r="N359" s="5">
        <f>VLOOKUP('[1]New Data'!A312,'[1]New Data'!A:Z,25,0)</f>
        <v>2</v>
      </c>
    </row>
    <row r="360" spans="1:14" x14ac:dyDescent="0.35">
      <c r="A360" s="2">
        <v>9051490</v>
      </c>
      <c r="B360" s="2">
        <v>19303</v>
      </c>
      <c r="C360" s="2" t="s">
        <v>380</v>
      </c>
      <c r="D360" s="2" t="s">
        <v>15</v>
      </c>
      <c r="E360" s="3">
        <f>VLOOKUP('[1]New Data'!A52,'[1]New Data'!A:H,8,0)</f>
        <v>36</v>
      </c>
      <c r="F360" s="3" t="str">
        <f>VLOOKUP('[1]New Data'!A52,'[1]New Data'!A:J,10,0)</f>
        <v>Male</v>
      </c>
      <c r="G360" s="3" t="str">
        <f>VLOOKUP('[1]New Data'!A52,'[1]New Data'!A:K,11,0)</f>
        <v>Low</v>
      </c>
      <c r="H360" s="4">
        <f>VLOOKUP('[1]New Data'!A52,'[1]New Data'!A:M,13,0)</f>
        <v>45000</v>
      </c>
      <c r="I360" s="5">
        <f>VLOOKUP('[1]New Data'!A52,'[1]New Data'!A:O,15,0)</f>
        <v>2</v>
      </c>
      <c r="J360" s="3">
        <f>VLOOKUP('[1]New Data'!A52,'[1]New Data'!A:P,16,0)</f>
        <v>230.87585229999999</v>
      </c>
      <c r="K360" s="3">
        <f>VLOOKUP('[1]New Data'!A52,'[1]New Data'!A:Q,17,0)</f>
        <v>461.7517047</v>
      </c>
      <c r="L360" s="3" t="str">
        <f>VLOOKUP('[1]New Data'!A360,'[1]New Data'!A:S,19,0)</f>
        <v>Home Decor</v>
      </c>
      <c r="M360" s="3" t="str">
        <f>VLOOKUP('[1]New Data'!A360,'[1]New Data'!A:T,20,0)</f>
        <v>Furniture</v>
      </c>
      <c r="N360" s="5">
        <f>VLOOKUP('[1]New Data'!A52,'[1]New Data'!A:Z,25,0)</f>
        <v>1</v>
      </c>
    </row>
    <row r="361" spans="1:14" hidden="1" x14ac:dyDescent="0.35">
      <c r="A361" s="2">
        <v>6171792</v>
      </c>
      <c r="B361" s="2">
        <v>82260</v>
      </c>
      <c r="C361" s="2" t="s">
        <v>381</v>
      </c>
      <c r="D361" s="2" t="s">
        <v>15</v>
      </c>
      <c r="E361" s="3">
        <f>VLOOKUP('[1]New Data'!A355,'[1]New Data'!A:H,8,0)</f>
        <v>70</v>
      </c>
      <c r="F361" s="3" t="str">
        <f>VLOOKUP('[1]New Data'!A355,'[1]New Data'!A:J,10,0)</f>
        <v>Female</v>
      </c>
      <c r="G361" s="3" t="str">
        <f>VLOOKUP('[1]New Data'!A355,'[1]New Data'!A:K,11,0)</f>
        <v>Low</v>
      </c>
      <c r="H361" s="4">
        <f>VLOOKUP('[1]New Data'!A355,'[1]New Data'!A:M,13,0)</f>
        <v>45182</v>
      </c>
      <c r="I361" s="5">
        <f>VLOOKUP('[1]New Data'!A355,'[1]New Data'!A:O,15,0)</f>
        <v>6</v>
      </c>
      <c r="J361" s="3">
        <f>VLOOKUP('[1]New Data'!A355,'[1]New Data'!A:P,16,0)</f>
        <v>76.276639860000003</v>
      </c>
      <c r="K361" s="3">
        <f>VLOOKUP('[1]New Data'!A355,'[1]New Data'!A:Q,17,0)</f>
        <v>457.65983920000002</v>
      </c>
      <c r="L361" s="3" t="str">
        <f>VLOOKUP('[1]New Data'!A361,'[1]New Data'!A:S,19,0)</f>
        <v>Clothing</v>
      </c>
      <c r="M361" s="3" t="str">
        <f>VLOOKUP('[1]New Data'!A361,'[1]New Data'!A:T,20,0)</f>
        <v>Shoes</v>
      </c>
      <c r="N361" s="5">
        <f>VLOOKUP('[1]New Data'!A355,'[1]New Data'!A:Z,25,0)</f>
        <v>2</v>
      </c>
    </row>
    <row r="362" spans="1:14" x14ac:dyDescent="0.35">
      <c r="A362" s="2">
        <v>9082305</v>
      </c>
      <c r="B362" s="2">
        <v>47037</v>
      </c>
      <c r="C362" s="2" t="s">
        <v>382</v>
      </c>
      <c r="D362" s="2" t="s">
        <v>15</v>
      </c>
      <c r="E362" s="3">
        <f>VLOOKUP('[1]New Data'!A27,'[1]New Data'!A:H,8,0)</f>
        <v>59</v>
      </c>
      <c r="F362" s="3" t="str">
        <f>VLOOKUP('[1]New Data'!A27,'[1]New Data'!A:J,10,0)</f>
        <v>Male</v>
      </c>
      <c r="G362" s="3" t="str">
        <f>VLOOKUP('[1]New Data'!A27,'[1]New Data'!A:K,11,0)</f>
        <v>High</v>
      </c>
      <c r="H362" s="4">
        <f>VLOOKUP('[1]New Data'!A27,'[1]New Data'!A:M,13,0)</f>
        <v>45036</v>
      </c>
      <c r="I362" s="5">
        <f>VLOOKUP('[1]New Data'!A27,'[1]New Data'!A:O,15,0)</f>
        <v>6</v>
      </c>
      <c r="J362" s="3">
        <f>VLOOKUP('[1]New Data'!A27,'[1]New Data'!A:P,16,0)</f>
        <v>75.209935009999995</v>
      </c>
      <c r="K362" s="3">
        <f>VLOOKUP('[1]New Data'!A27,'[1]New Data'!A:Q,17,0)</f>
        <v>451.25961000000001</v>
      </c>
      <c r="L362" s="3" t="str">
        <f>VLOOKUP('[1]New Data'!A362,'[1]New Data'!A:S,19,0)</f>
        <v>Home Decor</v>
      </c>
      <c r="M362" s="3" t="str">
        <f>VLOOKUP('[1]New Data'!A362,'[1]New Data'!A:T,20,0)</f>
        <v>Tools</v>
      </c>
      <c r="N362" s="5">
        <f>VLOOKUP('[1]New Data'!A27,'[1]New Data'!A:Z,25,0)</f>
        <v>1</v>
      </c>
    </row>
    <row r="363" spans="1:14" x14ac:dyDescent="0.35">
      <c r="A363" s="2">
        <v>4958322</v>
      </c>
      <c r="B363" s="2">
        <v>29178</v>
      </c>
      <c r="C363" s="2" t="s">
        <v>383</v>
      </c>
      <c r="D363" s="2" t="s">
        <v>15</v>
      </c>
      <c r="E363" s="3">
        <f>VLOOKUP('[1]New Data'!A269,'[1]New Data'!A:H,8,0)</f>
        <v>52</v>
      </c>
      <c r="F363" s="3" t="str">
        <f>VLOOKUP('[1]New Data'!A269,'[1]New Data'!A:J,10,0)</f>
        <v>Male</v>
      </c>
      <c r="G363" s="3" t="str">
        <f>VLOOKUP('[1]New Data'!A269,'[1]New Data'!A:K,11,0)</f>
        <v>Medium</v>
      </c>
      <c r="H363" s="4">
        <f>VLOOKUP('[1]New Data'!A269,'[1]New Data'!A:M,13,0)</f>
        <v>45171</v>
      </c>
      <c r="I363" s="5">
        <f>VLOOKUP('[1]New Data'!A269,'[1]New Data'!A:O,15,0)</f>
        <v>1</v>
      </c>
      <c r="J363" s="3">
        <f>VLOOKUP('[1]New Data'!A269,'[1]New Data'!A:P,16,0)</f>
        <v>447.5789312</v>
      </c>
      <c r="K363" s="3">
        <f>VLOOKUP('[1]New Data'!A269,'[1]New Data'!A:Q,17,0)</f>
        <v>447.5789312</v>
      </c>
      <c r="L363" s="3" t="str">
        <f>VLOOKUP('[1]New Data'!A363,'[1]New Data'!A:S,19,0)</f>
        <v>Home Decor</v>
      </c>
      <c r="M363" s="3" t="str">
        <f>VLOOKUP('[1]New Data'!A363,'[1]New Data'!A:T,20,0)</f>
        <v>Furniture</v>
      </c>
      <c r="N363" s="5">
        <f>VLOOKUP('[1]New Data'!A269,'[1]New Data'!A:Z,25,0)</f>
        <v>4</v>
      </c>
    </row>
    <row r="364" spans="1:14" hidden="1" x14ac:dyDescent="0.35">
      <c r="A364" s="2">
        <v>9934274</v>
      </c>
      <c r="B364" s="2">
        <v>48777</v>
      </c>
      <c r="C364" s="2" t="s">
        <v>384</v>
      </c>
      <c r="D364" s="2" t="s">
        <v>15</v>
      </c>
      <c r="E364" s="3">
        <f>VLOOKUP('[1]New Data'!A246,'[1]New Data'!A:H,8,0)</f>
        <v>23</v>
      </c>
      <c r="F364" s="3" t="str">
        <f>VLOOKUP('[1]New Data'!A246,'[1]New Data'!A:J,10,0)</f>
        <v>Female</v>
      </c>
      <c r="G364" s="3" t="str">
        <f>VLOOKUP('[1]New Data'!A246,'[1]New Data'!A:K,11,0)</f>
        <v>Medium</v>
      </c>
      <c r="H364" s="4">
        <f>VLOOKUP('[1]New Data'!A246,'[1]New Data'!A:M,13,0)</f>
        <v>45178</v>
      </c>
      <c r="I364" s="5">
        <f>VLOOKUP('[1]New Data'!A246,'[1]New Data'!A:O,15,0)</f>
        <v>1</v>
      </c>
      <c r="J364" s="3">
        <f>VLOOKUP('[1]New Data'!A246,'[1]New Data'!A:P,16,0)</f>
        <v>440.64780380000002</v>
      </c>
      <c r="K364" s="3">
        <f>VLOOKUP('[1]New Data'!A246,'[1]New Data'!A:Q,17,0)</f>
        <v>440.64780380000002</v>
      </c>
      <c r="L364" s="3" t="str">
        <f>VLOOKUP('[1]New Data'!A364,'[1]New Data'!A:S,19,0)</f>
        <v>Books</v>
      </c>
      <c r="M364" s="3" t="str">
        <f>VLOOKUP('[1]New Data'!A364,'[1]New Data'!A:T,20,0)</f>
        <v>Non-Fiction</v>
      </c>
      <c r="N364" s="5">
        <f>VLOOKUP('[1]New Data'!A246,'[1]New Data'!A:Z,25,0)</f>
        <v>4</v>
      </c>
    </row>
    <row r="365" spans="1:14" hidden="1" x14ac:dyDescent="0.35">
      <c r="A365" s="2">
        <v>7127278</v>
      </c>
      <c r="B365" s="2">
        <v>45899</v>
      </c>
      <c r="C365" s="2" t="s">
        <v>385</v>
      </c>
      <c r="D365" s="2" t="s">
        <v>15</v>
      </c>
      <c r="E365" s="3">
        <f>VLOOKUP('[1]New Data'!A349,'[1]New Data'!A:H,8,0)</f>
        <v>25</v>
      </c>
      <c r="F365" s="3" t="str">
        <f>VLOOKUP('[1]New Data'!A349,'[1]New Data'!A:J,10,0)</f>
        <v>Male</v>
      </c>
      <c r="G365" s="3" t="str">
        <f>VLOOKUP('[1]New Data'!A349,'[1]New Data'!A:K,11,0)</f>
        <v>Medium</v>
      </c>
      <c r="H365" s="4">
        <f>VLOOKUP('[1]New Data'!A349,'[1]New Data'!A:M,13,0)</f>
        <v>45032</v>
      </c>
      <c r="I365" s="5">
        <f>VLOOKUP('[1]New Data'!A349,'[1]New Data'!A:O,15,0)</f>
        <v>2</v>
      </c>
      <c r="J365" s="3">
        <f>VLOOKUP('[1]New Data'!A349,'[1]New Data'!A:P,16,0)</f>
        <v>218.7749551</v>
      </c>
      <c r="K365" s="3">
        <f>VLOOKUP('[1]New Data'!A349,'[1]New Data'!A:Q,17,0)</f>
        <v>437.5499102</v>
      </c>
      <c r="L365" s="3" t="str">
        <f>VLOOKUP('[1]New Data'!A365,'[1]New Data'!A:S,19,0)</f>
        <v>Electronics</v>
      </c>
      <c r="M365" s="3" t="str">
        <f>VLOOKUP('[1]New Data'!A365,'[1]New Data'!A:T,20,0)</f>
        <v>Television</v>
      </c>
      <c r="N365" s="5">
        <f>VLOOKUP('[1]New Data'!A349,'[1]New Data'!A:Z,25,0)</f>
        <v>4</v>
      </c>
    </row>
    <row r="366" spans="1:14" hidden="1" x14ac:dyDescent="0.35">
      <c r="A366" s="2">
        <v>5573833</v>
      </c>
      <c r="B366" s="2">
        <v>79248</v>
      </c>
      <c r="C366" s="2" t="s">
        <v>386</v>
      </c>
      <c r="D366" s="2" t="s">
        <v>15</v>
      </c>
      <c r="E366" s="3">
        <f>VLOOKUP('[1]New Data'!A201,'[1]New Data'!A:H,8,0)</f>
        <v>67</v>
      </c>
      <c r="F366" s="3" t="str">
        <f>VLOOKUP('[1]New Data'!A201,'[1]New Data'!A:J,10,0)</f>
        <v>Male</v>
      </c>
      <c r="G366" s="3" t="str">
        <f>VLOOKUP('[1]New Data'!A201,'[1]New Data'!A:K,11,0)</f>
        <v>Medium</v>
      </c>
      <c r="H366" s="4">
        <f>VLOOKUP('[1]New Data'!A201,'[1]New Data'!A:M,13,0)</f>
        <v>45287</v>
      </c>
      <c r="I366" s="5">
        <f>VLOOKUP('[1]New Data'!A201,'[1]New Data'!A:O,15,0)</f>
        <v>2</v>
      </c>
      <c r="J366" s="3">
        <f>VLOOKUP('[1]New Data'!A201,'[1]New Data'!A:P,16,0)</f>
        <v>218.73834120000001</v>
      </c>
      <c r="K366" s="3">
        <f>VLOOKUP('[1]New Data'!A201,'[1]New Data'!A:Q,17,0)</f>
        <v>437.47668240000002</v>
      </c>
      <c r="L366" s="3" t="str">
        <f>VLOOKUP('[1]New Data'!A366,'[1]New Data'!A:S,19,0)</f>
        <v>Grocery</v>
      </c>
      <c r="M366" s="3" t="str">
        <f>VLOOKUP('[1]New Data'!A366,'[1]New Data'!A:T,20,0)</f>
        <v>Soft Drink</v>
      </c>
      <c r="N366" s="5">
        <f>VLOOKUP('[1]New Data'!A201,'[1]New Data'!A:Z,25,0)</f>
        <v>4</v>
      </c>
    </row>
    <row r="367" spans="1:14" hidden="1" x14ac:dyDescent="0.35">
      <c r="A367" s="2">
        <v>5961798</v>
      </c>
      <c r="B367" s="2">
        <v>31581</v>
      </c>
      <c r="C367" s="2" t="s">
        <v>387</v>
      </c>
      <c r="D367" s="2" t="s">
        <v>15</v>
      </c>
      <c r="E367" s="3">
        <f>VLOOKUP('[1]New Data'!A84,'[1]New Data'!A:H,8,0)</f>
        <v>25</v>
      </c>
      <c r="F367" s="3" t="str">
        <f>VLOOKUP('[1]New Data'!A84,'[1]New Data'!A:J,10,0)</f>
        <v>Female</v>
      </c>
      <c r="G367" s="3" t="str">
        <f>VLOOKUP('[1]New Data'!A84,'[1]New Data'!A:K,11,0)</f>
        <v>Low</v>
      </c>
      <c r="H367" s="4">
        <f>VLOOKUP('[1]New Data'!A84,'[1]New Data'!A:M,13,0)</f>
        <v>44987</v>
      </c>
      <c r="I367" s="5">
        <f>VLOOKUP('[1]New Data'!A84,'[1]New Data'!A:O,15,0)</f>
        <v>6</v>
      </c>
      <c r="J367" s="3">
        <f>VLOOKUP('[1]New Data'!A84,'[1]New Data'!A:P,16,0)</f>
        <v>72.861682630000004</v>
      </c>
      <c r="K367" s="3">
        <f>VLOOKUP('[1]New Data'!A84,'[1]New Data'!A:Q,17,0)</f>
        <v>437.17009580000001</v>
      </c>
      <c r="L367" s="3" t="str">
        <f>VLOOKUP('[1]New Data'!A367,'[1]New Data'!A:S,19,0)</f>
        <v>Books</v>
      </c>
      <c r="M367" s="3" t="str">
        <f>VLOOKUP('[1]New Data'!A367,'[1]New Data'!A:T,20,0)</f>
        <v>Non-Fiction</v>
      </c>
      <c r="N367" s="5">
        <f>VLOOKUP('[1]New Data'!A84,'[1]New Data'!A:Z,25,0)</f>
        <v>3</v>
      </c>
    </row>
    <row r="368" spans="1:14" hidden="1" x14ac:dyDescent="0.35">
      <c r="A368" s="2">
        <v>3395821</v>
      </c>
      <c r="B368" s="2">
        <v>62489</v>
      </c>
      <c r="C368" s="2" t="s">
        <v>388</v>
      </c>
      <c r="D368" s="2" t="s">
        <v>15</v>
      </c>
      <c r="E368" s="3">
        <f>VLOOKUP('[1]New Data'!A329,'[1]New Data'!A:H,8,0)</f>
        <v>69</v>
      </c>
      <c r="F368" s="3" t="str">
        <f>VLOOKUP('[1]New Data'!A329,'[1]New Data'!A:J,10,0)</f>
        <v>Male</v>
      </c>
      <c r="G368" s="3" t="str">
        <f>VLOOKUP('[1]New Data'!A329,'[1]New Data'!A:K,11,0)</f>
        <v>Medium</v>
      </c>
      <c r="H368" s="4">
        <f>VLOOKUP('[1]New Data'!A329,'[1]New Data'!A:M,13,0)</f>
        <v>45000</v>
      </c>
      <c r="I368" s="5">
        <f>VLOOKUP('[1]New Data'!A329,'[1]New Data'!A:O,15,0)</f>
        <v>1</v>
      </c>
      <c r="J368" s="3">
        <f>VLOOKUP('[1]New Data'!A329,'[1]New Data'!A:P,16,0)</f>
        <v>437.05755219999998</v>
      </c>
      <c r="K368" s="3">
        <f>VLOOKUP('[1]New Data'!A329,'[1]New Data'!A:Q,17,0)</f>
        <v>437.05755219999998</v>
      </c>
      <c r="L368" s="3" t="str">
        <f>VLOOKUP('[1]New Data'!A368,'[1]New Data'!A:S,19,0)</f>
        <v>Electronics</v>
      </c>
      <c r="M368" s="3" t="str">
        <f>VLOOKUP('[1]New Data'!A368,'[1]New Data'!A:T,20,0)</f>
        <v>Tablet</v>
      </c>
      <c r="N368" s="5">
        <f>VLOOKUP('[1]New Data'!A329,'[1]New Data'!A:Z,25,0)</f>
        <v>1</v>
      </c>
    </row>
    <row r="369" spans="1:14" hidden="1" x14ac:dyDescent="0.35">
      <c r="A369" s="2">
        <v>5604834</v>
      </c>
      <c r="B369" s="2">
        <v>39167</v>
      </c>
      <c r="C369" s="2" t="s">
        <v>389</v>
      </c>
      <c r="D369" s="2" t="s">
        <v>15</v>
      </c>
      <c r="E369" s="3">
        <f>VLOOKUP('[1]New Data'!A457,'[1]New Data'!A:H,8,0)</f>
        <v>54</v>
      </c>
      <c r="F369" s="3" t="str">
        <f>VLOOKUP('[1]New Data'!A457,'[1]New Data'!A:J,10,0)</f>
        <v>Female</v>
      </c>
      <c r="G369" s="3" t="str">
        <f>VLOOKUP('[1]New Data'!A457,'[1]New Data'!A:K,11,0)</f>
        <v>Low</v>
      </c>
      <c r="H369" s="4">
        <f>VLOOKUP('[1]New Data'!A457,'[1]New Data'!A:M,13,0)</f>
        <v>44989</v>
      </c>
      <c r="I369" s="5">
        <f>VLOOKUP('[1]New Data'!A457,'[1]New Data'!A:O,15,0)</f>
        <v>1</v>
      </c>
      <c r="J369" s="3">
        <f>VLOOKUP('[1]New Data'!A457,'[1]New Data'!A:P,16,0)</f>
        <v>436.05455540000003</v>
      </c>
      <c r="K369" s="3">
        <f>VLOOKUP('[1]New Data'!A457,'[1]New Data'!A:Q,17,0)</f>
        <v>436.05455540000003</v>
      </c>
      <c r="L369" s="3" t="str">
        <f>VLOOKUP('[1]New Data'!A369,'[1]New Data'!A:S,19,0)</f>
        <v>Grocery</v>
      </c>
      <c r="M369" s="3" t="str">
        <f>VLOOKUP('[1]New Data'!A369,'[1]New Data'!A:T,20,0)</f>
        <v>Water</v>
      </c>
      <c r="N369" s="5">
        <f>VLOOKUP('[1]New Data'!A457,'[1]New Data'!A:Z,25,0)</f>
        <v>2</v>
      </c>
    </row>
    <row r="370" spans="1:14" hidden="1" x14ac:dyDescent="0.35">
      <c r="A370" s="2">
        <v>5879553</v>
      </c>
      <c r="B370" s="2">
        <v>13459</v>
      </c>
      <c r="C370" s="2" t="s">
        <v>390</v>
      </c>
      <c r="D370" s="2" t="s">
        <v>15</v>
      </c>
      <c r="E370" s="3">
        <f>VLOOKUP('[1]New Data'!A455,'[1]New Data'!A:H,8,0)</f>
        <v>52</v>
      </c>
      <c r="F370" s="3" t="str">
        <f>VLOOKUP('[1]New Data'!A455,'[1]New Data'!A:J,10,0)</f>
        <v>Male</v>
      </c>
      <c r="G370" s="3" t="str">
        <f>VLOOKUP('[1]New Data'!A455,'[1]New Data'!A:K,11,0)</f>
        <v>Medium</v>
      </c>
      <c r="H370" s="4">
        <f>VLOOKUP('[1]New Data'!A455,'[1]New Data'!A:M,13,0)</f>
        <v>45296</v>
      </c>
      <c r="I370" s="5">
        <f>VLOOKUP('[1]New Data'!A455,'[1]New Data'!A:O,15,0)</f>
        <v>1</v>
      </c>
      <c r="J370" s="3">
        <f>VLOOKUP('[1]New Data'!A455,'[1]New Data'!A:P,16,0)</f>
        <v>431.11620340000002</v>
      </c>
      <c r="K370" s="3">
        <f>VLOOKUP('[1]New Data'!A455,'[1]New Data'!A:Q,17,0)</f>
        <v>431.11620340000002</v>
      </c>
      <c r="L370" s="3" t="str">
        <f>VLOOKUP('[1]New Data'!A370,'[1]New Data'!A:S,19,0)</f>
        <v>Electronics</v>
      </c>
      <c r="M370" s="3" t="str">
        <f>VLOOKUP('[1]New Data'!A370,'[1]New Data'!A:T,20,0)</f>
        <v>Smartphone</v>
      </c>
      <c r="N370" s="5">
        <f>VLOOKUP('[1]New Data'!A455,'[1]New Data'!A:Z,25,0)</f>
        <v>4</v>
      </c>
    </row>
    <row r="371" spans="1:14" x14ac:dyDescent="0.35">
      <c r="A371" s="2">
        <v>4143798</v>
      </c>
      <c r="B371" s="2">
        <v>49192</v>
      </c>
      <c r="C371" s="2" t="s">
        <v>391</v>
      </c>
      <c r="D371" s="2" t="s">
        <v>15</v>
      </c>
      <c r="E371" s="3">
        <f>VLOOKUP('[1]New Data'!A383,'[1]New Data'!A:H,8,0)</f>
        <v>61</v>
      </c>
      <c r="F371" s="3" t="str">
        <f>VLOOKUP('[1]New Data'!A383,'[1]New Data'!A:J,10,0)</f>
        <v>Male</v>
      </c>
      <c r="G371" s="3" t="str">
        <f>VLOOKUP('[1]New Data'!A383,'[1]New Data'!A:K,11,0)</f>
        <v>Medium</v>
      </c>
      <c r="H371" s="4">
        <f>VLOOKUP('[1]New Data'!A383,'[1]New Data'!A:M,13,0)</f>
        <v>45190</v>
      </c>
      <c r="I371" s="5">
        <f>VLOOKUP('[1]New Data'!A383,'[1]New Data'!A:O,15,0)</f>
        <v>1</v>
      </c>
      <c r="J371" s="3">
        <f>VLOOKUP('[1]New Data'!A383,'[1]New Data'!A:P,16,0)</f>
        <v>428.05981120000001</v>
      </c>
      <c r="K371" s="3">
        <f>VLOOKUP('[1]New Data'!A383,'[1]New Data'!A:Q,17,0)</f>
        <v>428.05981120000001</v>
      </c>
      <c r="L371" s="3" t="str">
        <f>VLOOKUP('[1]New Data'!A371,'[1]New Data'!A:S,19,0)</f>
        <v>Home Decor</v>
      </c>
      <c r="M371" s="3" t="str">
        <f>VLOOKUP('[1]New Data'!A371,'[1]New Data'!A:T,20,0)</f>
        <v>Furniture</v>
      </c>
      <c r="N371" s="5">
        <f>VLOOKUP('[1]New Data'!A383,'[1]New Data'!A:Z,25,0)</f>
        <v>4</v>
      </c>
    </row>
    <row r="372" spans="1:14" x14ac:dyDescent="0.35">
      <c r="A372" s="2">
        <v>8670923</v>
      </c>
      <c r="B372" s="2">
        <v>80071</v>
      </c>
      <c r="C372" s="2" t="s">
        <v>392</v>
      </c>
      <c r="D372" s="2" t="s">
        <v>15</v>
      </c>
      <c r="E372" s="3">
        <f>VLOOKUP('[1]New Data'!A63,'[1]New Data'!A:H,8,0)</f>
        <v>41</v>
      </c>
      <c r="F372" s="3" t="str">
        <f>VLOOKUP('[1]New Data'!A63,'[1]New Data'!A:J,10,0)</f>
        <v>Female</v>
      </c>
      <c r="G372" s="3" t="str">
        <f>VLOOKUP('[1]New Data'!A63,'[1]New Data'!A:K,11,0)</f>
        <v>Low</v>
      </c>
      <c r="H372" s="4">
        <f>VLOOKUP('[1]New Data'!A63,'[1]New Data'!A:M,13,0)</f>
        <v>45186</v>
      </c>
      <c r="I372" s="5">
        <f>VLOOKUP('[1]New Data'!A63,'[1]New Data'!A:O,15,0)</f>
        <v>6</v>
      </c>
      <c r="J372" s="3">
        <f>VLOOKUP('[1]New Data'!A63,'[1]New Data'!A:P,16,0)</f>
        <v>71.191550789999994</v>
      </c>
      <c r="K372" s="3">
        <f>VLOOKUP('[1]New Data'!A63,'[1]New Data'!A:Q,17,0)</f>
        <v>427.14930470000002</v>
      </c>
      <c r="L372" s="3" t="str">
        <f>VLOOKUP('[1]New Data'!A372,'[1]New Data'!A:S,19,0)</f>
        <v>Home Decor</v>
      </c>
      <c r="M372" s="3" t="str">
        <f>VLOOKUP('[1]New Data'!A372,'[1]New Data'!A:T,20,0)</f>
        <v>Bedding</v>
      </c>
      <c r="N372" s="5">
        <f>VLOOKUP('[1]New Data'!A63,'[1]New Data'!A:Z,25,0)</f>
        <v>2</v>
      </c>
    </row>
    <row r="373" spans="1:14" hidden="1" x14ac:dyDescent="0.35">
      <c r="A373" s="2">
        <v>3892971</v>
      </c>
      <c r="B373" s="2">
        <v>67690</v>
      </c>
      <c r="C373" s="2" t="s">
        <v>393</v>
      </c>
      <c r="D373" s="2" t="s">
        <v>15</v>
      </c>
      <c r="E373" s="3">
        <f>VLOOKUP('[1]New Data'!A89,'[1]New Data'!A:H,8,0)</f>
        <v>35</v>
      </c>
      <c r="F373" s="3" t="str">
        <f>VLOOKUP('[1]New Data'!A89,'[1]New Data'!A:J,10,0)</f>
        <v>Female</v>
      </c>
      <c r="G373" s="3" t="str">
        <f>VLOOKUP('[1]New Data'!A89,'[1]New Data'!A:K,11,0)</f>
        <v>Medium</v>
      </c>
      <c r="H373" s="4">
        <f>VLOOKUP('[1]New Data'!A89,'[1]New Data'!A:M,13,0)</f>
        <v>45020</v>
      </c>
      <c r="I373" s="5">
        <f>VLOOKUP('[1]New Data'!A89,'[1]New Data'!A:O,15,0)</f>
        <v>1</v>
      </c>
      <c r="J373" s="3">
        <f>VLOOKUP('[1]New Data'!A89,'[1]New Data'!A:P,16,0)</f>
        <v>426.65134169999999</v>
      </c>
      <c r="K373" s="3">
        <f>VLOOKUP('[1]New Data'!A89,'[1]New Data'!A:Q,17,0)</f>
        <v>426.65134169999999</v>
      </c>
      <c r="L373" s="3" t="str">
        <f>VLOOKUP('[1]New Data'!A373,'[1]New Data'!A:S,19,0)</f>
        <v>Electronics</v>
      </c>
      <c r="M373" s="3" t="str">
        <f>VLOOKUP('[1]New Data'!A373,'[1]New Data'!A:T,20,0)</f>
        <v>Laptop</v>
      </c>
      <c r="N373" s="5">
        <f>VLOOKUP('[1]New Data'!A89,'[1]New Data'!A:Z,25,0)</f>
        <v>5</v>
      </c>
    </row>
    <row r="374" spans="1:14" hidden="1" x14ac:dyDescent="0.35">
      <c r="A374" s="2">
        <v>2896778</v>
      </c>
      <c r="B374" s="2">
        <v>19537</v>
      </c>
      <c r="C374" s="2" t="s">
        <v>394</v>
      </c>
      <c r="D374" s="2" t="s">
        <v>15</v>
      </c>
      <c r="E374" s="3">
        <f>VLOOKUP('[1]New Data'!A233,'[1]New Data'!A:H,8,0)</f>
        <v>35</v>
      </c>
      <c r="F374" s="3" t="str">
        <f>VLOOKUP('[1]New Data'!A233,'[1]New Data'!A:J,10,0)</f>
        <v>Female</v>
      </c>
      <c r="G374" s="3" t="str">
        <f>VLOOKUP('[1]New Data'!A233,'[1]New Data'!A:K,11,0)</f>
        <v>Low</v>
      </c>
      <c r="H374" s="4">
        <f>VLOOKUP('[1]New Data'!A233,'[1]New Data'!A:M,13,0)</f>
        <v>45225</v>
      </c>
      <c r="I374" s="5">
        <f>VLOOKUP('[1]New Data'!A233,'[1]New Data'!A:O,15,0)</f>
        <v>1</v>
      </c>
      <c r="J374" s="3">
        <f>VLOOKUP('[1]New Data'!A233,'[1]New Data'!A:P,16,0)</f>
        <v>426.1686042</v>
      </c>
      <c r="K374" s="3">
        <f>VLOOKUP('[1]New Data'!A233,'[1]New Data'!A:Q,17,0)</f>
        <v>426.1686042</v>
      </c>
      <c r="L374" s="3" t="str">
        <f>VLOOKUP('[1]New Data'!A374,'[1]New Data'!A:S,19,0)</f>
        <v>Grocery</v>
      </c>
      <c r="M374" s="3" t="str">
        <f>VLOOKUP('[1]New Data'!A374,'[1]New Data'!A:T,20,0)</f>
        <v>Chocolate</v>
      </c>
      <c r="N374" s="5">
        <f>VLOOKUP('[1]New Data'!A233,'[1]New Data'!A:Z,25,0)</f>
        <v>1</v>
      </c>
    </row>
    <row r="375" spans="1:14" hidden="1" x14ac:dyDescent="0.35">
      <c r="A375" s="2">
        <v>2430572</v>
      </c>
      <c r="B375" s="2">
        <v>71803</v>
      </c>
      <c r="C375" s="2" t="s">
        <v>395</v>
      </c>
      <c r="D375" s="2" t="s">
        <v>15</v>
      </c>
      <c r="E375" s="3">
        <f>VLOOKUP('[1]New Data'!A19,'[1]New Data'!A:H,8,0)</f>
        <v>19</v>
      </c>
      <c r="F375" s="3" t="str">
        <f>VLOOKUP('[1]New Data'!A19,'[1]New Data'!A:J,10,0)</f>
        <v>Female</v>
      </c>
      <c r="G375" s="3" t="str">
        <f>VLOOKUP('[1]New Data'!A19,'[1]New Data'!A:K,11,0)</f>
        <v>High</v>
      </c>
      <c r="H375" s="4">
        <f>VLOOKUP('[1]New Data'!A19,'[1]New Data'!A:M,13,0)</f>
        <v>45030</v>
      </c>
      <c r="I375" s="5">
        <f>VLOOKUP('[1]New Data'!A19,'[1]New Data'!A:O,15,0)</f>
        <v>3</v>
      </c>
      <c r="J375" s="3">
        <f>VLOOKUP('[1]New Data'!A19,'[1]New Data'!A:P,16,0)</f>
        <v>139.786855</v>
      </c>
      <c r="K375" s="3">
        <f>VLOOKUP('[1]New Data'!A19,'[1]New Data'!A:Q,17,0)</f>
        <v>419.36056509999997</v>
      </c>
      <c r="L375" s="3" t="str">
        <f>VLOOKUP('[1]New Data'!A375,'[1]New Data'!A:S,19,0)</f>
        <v>Clothing</v>
      </c>
      <c r="M375" s="3" t="str">
        <f>VLOOKUP('[1]New Data'!A375,'[1]New Data'!A:T,20,0)</f>
        <v>T-shirt</v>
      </c>
      <c r="N375" s="5">
        <f>VLOOKUP('[1]New Data'!A19,'[1]New Data'!A:Z,25,0)</f>
        <v>3</v>
      </c>
    </row>
    <row r="376" spans="1:14" hidden="1" x14ac:dyDescent="0.35">
      <c r="A376" s="2">
        <v>6215388</v>
      </c>
      <c r="B376" s="2">
        <v>66817</v>
      </c>
      <c r="C376" s="2" t="s">
        <v>396</v>
      </c>
      <c r="D376" s="2" t="s">
        <v>15</v>
      </c>
      <c r="E376" s="3">
        <f>VLOOKUP('[1]New Data'!A168,'[1]New Data'!A:H,8,0)</f>
        <v>41</v>
      </c>
      <c r="F376" s="3" t="str">
        <f>VLOOKUP('[1]New Data'!A168,'[1]New Data'!A:J,10,0)</f>
        <v>Female</v>
      </c>
      <c r="G376" s="3" t="str">
        <f>VLOOKUP('[1]New Data'!A168,'[1]New Data'!A:K,11,0)</f>
        <v>High</v>
      </c>
      <c r="H376" s="4">
        <f>VLOOKUP('[1]New Data'!A168,'[1]New Data'!A:M,13,0)</f>
        <v>45051</v>
      </c>
      <c r="I376" s="5">
        <f>VLOOKUP('[1]New Data'!A168,'[1]New Data'!A:O,15,0)</f>
        <v>2</v>
      </c>
      <c r="J376" s="3">
        <f>VLOOKUP('[1]New Data'!A168,'[1]New Data'!A:P,16,0)</f>
        <v>209.65846160000001</v>
      </c>
      <c r="K376" s="3">
        <f>VLOOKUP('[1]New Data'!A168,'[1]New Data'!A:Q,17,0)</f>
        <v>419.31692329999998</v>
      </c>
      <c r="L376" s="3" t="str">
        <f>VLOOKUP('[1]New Data'!A376,'[1]New Data'!A:S,19,0)</f>
        <v>Grocery</v>
      </c>
      <c r="M376" s="3" t="str">
        <f>VLOOKUP('[1]New Data'!A376,'[1]New Data'!A:T,20,0)</f>
        <v>Soft Drink</v>
      </c>
      <c r="N376" s="5">
        <f>VLOOKUP('[1]New Data'!A168,'[1]New Data'!A:Z,25,0)</f>
        <v>2</v>
      </c>
    </row>
    <row r="377" spans="1:14" hidden="1" x14ac:dyDescent="0.35">
      <c r="A377" s="2">
        <v>7839518</v>
      </c>
      <c r="B377" s="2">
        <v>22236</v>
      </c>
      <c r="C377" s="2" t="s">
        <v>397</v>
      </c>
      <c r="D377" s="2" t="s">
        <v>15</v>
      </c>
      <c r="E377" s="3">
        <f>VLOOKUP('[1]New Data'!A188,'[1]New Data'!A:H,8,0)</f>
        <v>40</v>
      </c>
      <c r="F377" s="3" t="str">
        <f>VLOOKUP('[1]New Data'!A188,'[1]New Data'!A:J,10,0)</f>
        <v>Male</v>
      </c>
      <c r="G377" s="3" t="str">
        <f>VLOOKUP('[1]New Data'!A188,'[1]New Data'!A:K,11,0)</f>
        <v>Medium</v>
      </c>
      <c r="H377" s="4">
        <f>VLOOKUP('[1]New Data'!A188,'[1]New Data'!A:M,13,0)</f>
        <v>45019</v>
      </c>
      <c r="I377" s="5">
        <f>VLOOKUP('[1]New Data'!A188,'[1]New Data'!A:O,15,0)</f>
        <v>1</v>
      </c>
      <c r="J377" s="3">
        <f>VLOOKUP('[1]New Data'!A188,'[1]New Data'!A:P,16,0)</f>
        <v>418.65792099999999</v>
      </c>
      <c r="K377" s="3">
        <f>VLOOKUP('[1]New Data'!A188,'[1]New Data'!A:Q,17,0)</f>
        <v>418.65792099999999</v>
      </c>
      <c r="L377" s="3" t="str">
        <f>VLOOKUP('[1]New Data'!A377,'[1]New Data'!A:S,19,0)</f>
        <v>Grocery</v>
      </c>
      <c r="M377" s="3" t="str">
        <f>VLOOKUP('[1]New Data'!A377,'[1]New Data'!A:T,20,0)</f>
        <v>Juice</v>
      </c>
      <c r="N377" s="5">
        <f>VLOOKUP('[1]New Data'!A188,'[1]New Data'!A:Z,25,0)</f>
        <v>1</v>
      </c>
    </row>
    <row r="378" spans="1:14" hidden="1" x14ac:dyDescent="0.35">
      <c r="A378" s="2">
        <v>9823195</v>
      </c>
      <c r="B378" s="2">
        <v>14549</v>
      </c>
      <c r="C378" s="2" t="s">
        <v>398</v>
      </c>
      <c r="D378" s="2" t="s">
        <v>15</v>
      </c>
      <c r="E378" s="3">
        <f>VLOOKUP('[1]New Data'!A101,'[1]New Data'!A:H,8,0)</f>
        <v>62</v>
      </c>
      <c r="F378" s="3" t="str">
        <f>VLOOKUP('[1]New Data'!A101,'[1]New Data'!A:J,10,0)</f>
        <v>Female</v>
      </c>
      <c r="G378" s="3" t="str">
        <f>VLOOKUP('[1]New Data'!A101,'[1]New Data'!A:K,11,0)</f>
        <v>Medium</v>
      </c>
      <c r="H378" s="4">
        <f>VLOOKUP('[1]New Data'!A101,'[1]New Data'!A:M,13,0)</f>
        <v>45238</v>
      </c>
      <c r="I378" s="5">
        <f>VLOOKUP('[1]New Data'!A101,'[1]New Data'!A:O,15,0)</f>
        <v>4</v>
      </c>
      <c r="J378" s="3">
        <f>VLOOKUP('[1]New Data'!A101,'[1]New Data'!A:P,16,0)</f>
        <v>104.5063373</v>
      </c>
      <c r="K378" s="3">
        <f>VLOOKUP('[1]New Data'!A101,'[1]New Data'!A:Q,17,0)</f>
        <v>418.02534910000003</v>
      </c>
      <c r="L378" s="3" t="str">
        <f>VLOOKUP('[1]New Data'!A378,'[1]New Data'!A:S,19,0)</f>
        <v>Grocery</v>
      </c>
      <c r="M378" s="3" t="str">
        <f>VLOOKUP('[1]New Data'!A378,'[1]New Data'!A:T,20,0)</f>
        <v>Juice</v>
      </c>
      <c r="N378" s="5">
        <f>VLOOKUP('[1]New Data'!A101,'[1]New Data'!A:Z,25,0)</f>
        <v>5</v>
      </c>
    </row>
    <row r="379" spans="1:14" x14ac:dyDescent="0.35">
      <c r="A379" s="2">
        <v>7757654</v>
      </c>
      <c r="B379" s="2">
        <v>65961</v>
      </c>
      <c r="C379" s="2" t="s">
        <v>399</v>
      </c>
      <c r="D379" s="2" t="s">
        <v>15</v>
      </c>
      <c r="E379" s="3">
        <f>VLOOKUP('[1]New Data'!A82,'[1]New Data'!A:H,8,0)</f>
        <v>39</v>
      </c>
      <c r="F379" s="3" t="str">
        <f>VLOOKUP('[1]New Data'!A82,'[1]New Data'!A:J,10,0)</f>
        <v>Male</v>
      </c>
      <c r="G379" s="3" t="str">
        <f>VLOOKUP('[1]New Data'!A82,'[1]New Data'!A:K,11,0)</f>
        <v>High</v>
      </c>
      <c r="H379" s="4">
        <f>VLOOKUP('[1]New Data'!A82,'[1]New Data'!A:M,13,0)</f>
        <v>45129</v>
      </c>
      <c r="I379" s="5">
        <f>VLOOKUP('[1]New Data'!A82,'[1]New Data'!A:O,15,0)</f>
        <v>8</v>
      </c>
      <c r="J379" s="3">
        <f>VLOOKUP('[1]New Data'!A82,'[1]New Data'!A:P,16,0)</f>
        <v>51.516267659999997</v>
      </c>
      <c r="K379" s="3">
        <f>VLOOKUP('[1]New Data'!A82,'[1]New Data'!A:Q,17,0)</f>
        <v>412.13014129999999</v>
      </c>
      <c r="L379" s="3" t="str">
        <f>VLOOKUP('[1]New Data'!A379,'[1]New Data'!A:S,19,0)</f>
        <v>Home Decor</v>
      </c>
      <c r="M379" s="3" t="str">
        <f>VLOOKUP('[1]New Data'!A379,'[1]New Data'!A:T,20,0)</f>
        <v>Lighting</v>
      </c>
      <c r="N379" s="5">
        <f>VLOOKUP('[1]New Data'!A82,'[1]New Data'!A:Z,25,0)</f>
        <v>2</v>
      </c>
    </row>
    <row r="380" spans="1:14" hidden="1" x14ac:dyDescent="0.35">
      <c r="A380" s="2">
        <v>4830596</v>
      </c>
      <c r="B380" s="2">
        <v>74006</v>
      </c>
      <c r="C380" s="2" t="s">
        <v>400</v>
      </c>
      <c r="D380" s="2" t="s">
        <v>15</v>
      </c>
      <c r="E380" s="3">
        <f>VLOOKUP('[1]New Data'!A192,'[1]New Data'!A:H,8,0)</f>
        <v>36</v>
      </c>
      <c r="F380" s="3" t="str">
        <f>VLOOKUP('[1]New Data'!A192,'[1]New Data'!A:J,10,0)</f>
        <v>Male</v>
      </c>
      <c r="G380" s="3" t="str">
        <f>VLOOKUP('[1]New Data'!A192,'[1]New Data'!A:K,11,0)</f>
        <v>Medium</v>
      </c>
      <c r="H380" s="4">
        <f>VLOOKUP('[1]New Data'!A192,'[1]New Data'!A:M,13,0)</f>
        <v>45092</v>
      </c>
      <c r="I380" s="5">
        <f>VLOOKUP('[1]New Data'!A192,'[1]New Data'!A:O,15,0)</f>
        <v>9</v>
      </c>
      <c r="J380" s="3">
        <f>VLOOKUP('[1]New Data'!A192,'[1]New Data'!A:P,16,0)</f>
        <v>45.424849889999997</v>
      </c>
      <c r="K380" s="3">
        <f>VLOOKUP('[1]New Data'!A192,'[1]New Data'!A:Q,17,0)</f>
        <v>408.82364899999999</v>
      </c>
      <c r="L380" s="3" t="str">
        <f>VLOOKUP('[1]New Data'!A380,'[1]New Data'!A:S,19,0)</f>
        <v>Clothing</v>
      </c>
      <c r="M380" s="3" t="str">
        <f>VLOOKUP('[1]New Data'!A380,'[1]New Data'!A:T,20,0)</f>
        <v>Shirt</v>
      </c>
      <c r="N380" s="5">
        <f>VLOOKUP('[1]New Data'!A192,'[1]New Data'!A:Z,25,0)</f>
        <v>5</v>
      </c>
    </row>
    <row r="381" spans="1:14" hidden="1" x14ac:dyDescent="0.35">
      <c r="A381" s="2">
        <v>5590605</v>
      </c>
      <c r="B381" s="2">
        <v>70727</v>
      </c>
      <c r="C381" s="2" t="s">
        <v>401</v>
      </c>
      <c r="D381" s="2" t="s">
        <v>15</v>
      </c>
      <c r="E381" s="3">
        <f>VLOOKUP('[1]New Data'!A440,'[1]New Data'!A:H,8,0)</f>
        <v>40</v>
      </c>
      <c r="F381" s="3" t="str">
        <f>VLOOKUP('[1]New Data'!A440,'[1]New Data'!A:J,10,0)</f>
        <v>Female</v>
      </c>
      <c r="G381" s="3" t="str">
        <f>VLOOKUP('[1]New Data'!A440,'[1]New Data'!A:K,11,0)</f>
        <v>Low</v>
      </c>
      <c r="H381" s="4">
        <f>VLOOKUP('[1]New Data'!A440,'[1]New Data'!A:M,13,0)</f>
        <v>45294</v>
      </c>
      <c r="I381" s="5">
        <f>VLOOKUP('[1]New Data'!A440,'[1]New Data'!A:O,15,0)</f>
        <v>2</v>
      </c>
      <c r="J381" s="3">
        <f>VLOOKUP('[1]New Data'!A440,'[1]New Data'!A:P,16,0)</f>
        <v>204.09953849999999</v>
      </c>
      <c r="K381" s="3">
        <f>VLOOKUP('[1]New Data'!A440,'[1]New Data'!A:Q,17,0)</f>
        <v>408.19907690000002</v>
      </c>
      <c r="L381" s="3" t="str">
        <f>VLOOKUP('[1]New Data'!A381,'[1]New Data'!A:S,19,0)</f>
        <v>Grocery</v>
      </c>
      <c r="M381" s="3" t="str">
        <f>VLOOKUP('[1]New Data'!A381,'[1]New Data'!A:T,20,0)</f>
        <v>Coffee</v>
      </c>
      <c r="N381" s="5">
        <f>VLOOKUP('[1]New Data'!A440,'[1]New Data'!A:Z,25,0)</f>
        <v>2</v>
      </c>
    </row>
    <row r="382" spans="1:14" hidden="1" x14ac:dyDescent="0.35">
      <c r="A382" s="2">
        <v>8709027</v>
      </c>
      <c r="B382" s="2">
        <v>17165</v>
      </c>
      <c r="C382" s="2" t="s">
        <v>402</v>
      </c>
      <c r="D382" s="2" t="s">
        <v>15</v>
      </c>
      <c r="E382" s="3">
        <f>VLOOKUP('[1]New Data'!A353,'[1]New Data'!A:H,8,0)</f>
        <v>63</v>
      </c>
      <c r="F382" s="3" t="str">
        <f>VLOOKUP('[1]New Data'!A353,'[1]New Data'!A:J,10,0)</f>
        <v>Male</v>
      </c>
      <c r="G382" s="3" t="str">
        <f>VLOOKUP('[1]New Data'!A353,'[1]New Data'!A:K,11,0)</f>
        <v>Medium</v>
      </c>
      <c r="H382" s="4">
        <f>VLOOKUP('[1]New Data'!A353,'[1]New Data'!A:M,13,0)</f>
        <v>45065</v>
      </c>
      <c r="I382" s="5">
        <f>VLOOKUP('[1]New Data'!A353,'[1]New Data'!A:O,15,0)</f>
        <v>9</v>
      </c>
      <c r="J382" s="3">
        <f>VLOOKUP('[1]New Data'!A353,'[1]New Data'!A:P,16,0)</f>
        <v>45.318299250000003</v>
      </c>
      <c r="K382" s="3">
        <f>VLOOKUP('[1]New Data'!A353,'[1]New Data'!A:Q,17,0)</f>
        <v>407.86469319999998</v>
      </c>
      <c r="L382" s="3" t="str">
        <f>VLOOKUP('[1]New Data'!A382,'[1]New Data'!A:S,19,0)</f>
        <v>Clothing</v>
      </c>
      <c r="M382" s="3" t="str">
        <f>VLOOKUP('[1]New Data'!A382,'[1]New Data'!A:T,20,0)</f>
        <v>Shirt</v>
      </c>
      <c r="N382" s="5">
        <f>VLOOKUP('[1]New Data'!A353,'[1]New Data'!A:Z,25,0)</f>
        <v>1</v>
      </c>
    </row>
    <row r="383" spans="1:14" hidden="1" x14ac:dyDescent="0.35">
      <c r="A383" s="2">
        <v>1377119</v>
      </c>
      <c r="B383" s="2">
        <v>71025</v>
      </c>
      <c r="C383" s="2" t="s">
        <v>403</v>
      </c>
      <c r="D383" s="2" t="s">
        <v>15</v>
      </c>
      <c r="E383" s="3">
        <f>VLOOKUP('[1]New Data'!A217,'[1]New Data'!A:H,8,0)</f>
        <v>44</v>
      </c>
      <c r="F383" s="3" t="str">
        <f>VLOOKUP('[1]New Data'!A217,'[1]New Data'!A:J,10,0)</f>
        <v>Male</v>
      </c>
      <c r="G383" s="3" t="str">
        <f>VLOOKUP('[1]New Data'!A217,'[1]New Data'!A:K,11,0)</f>
        <v>Medium</v>
      </c>
      <c r="H383" s="4">
        <f>VLOOKUP('[1]New Data'!A217,'[1]New Data'!A:M,13,0)</f>
        <v>45320</v>
      </c>
      <c r="I383" s="5">
        <f>VLOOKUP('[1]New Data'!A217,'[1]New Data'!A:O,15,0)</f>
        <v>1</v>
      </c>
      <c r="J383" s="3">
        <f>VLOOKUP('[1]New Data'!A217,'[1]New Data'!A:P,16,0)</f>
        <v>404.13374690000001</v>
      </c>
      <c r="K383" s="3">
        <f>VLOOKUP('[1]New Data'!A217,'[1]New Data'!A:Q,17,0)</f>
        <v>404.13374690000001</v>
      </c>
      <c r="L383" s="3" t="str">
        <f>VLOOKUP('[1]New Data'!A383,'[1]New Data'!A:S,19,0)</f>
        <v>Books</v>
      </c>
      <c r="M383" s="3" t="str">
        <f>VLOOKUP('[1]New Data'!A383,'[1]New Data'!A:T,20,0)</f>
        <v>Children's</v>
      </c>
      <c r="N383" s="5">
        <f>VLOOKUP('[1]New Data'!A217,'[1]New Data'!A:Z,25,0)</f>
        <v>1</v>
      </c>
    </row>
    <row r="384" spans="1:14" hidden="1" x14ac:dyDescent="0.35">
      <c r="A384" s="2">
        <v>6047927</v>
      </c>
      <c r="B384" s="2">
        <v>74096</v>
      </c>
      <c r="C384" s="2" t="s">
        <v>404</v>
      </c>
      <c r="D384" s="2" t="s">
        <v>15</v>
      </c>
      <c r="E384" s="3">
        <f>VLOOKUP('[1]New Data'!A47,'[1]New Data'!A:H,8,0)</f>
        <v>36</v>
      </c>
      <c r="F384" s="3" t="str">
        <f>VLOOKUP('[1]New Data'!A47,'[1]New Data'!A:J,10,0)</f>
        <v>Male</v>
      </c>
      <c r="G384" s="3" t="str">
        <f>VLOOKUP('[1]New Data'!A47,'[1]New Data'!A:K,11,0)</f>
        <v>Low</v>
      </c>
      <c r="H384" s="4">
        <f>VLOOKUP('[1]New Data'!A47,'[1]New Data'!A:M,13,0)</f>
        <v>45096</v>
      </c>
      <c r="I384" s="5">
        <f>VLOOKUP('[1]New Data'!A47,'[1]New Data'!A:O,15,0)</f>
        <v>1</v>
      </c>
      <c r="J384" s="3">
        <f>VLOOKUP('[1]New Data'!A47,'[1]New Data'!A:P,16,0)</f>
        <v>399.78712239999999</v>
      </c>
      <c r="K384" s="3">
        <f>VLOOKUP('[1]New Data'!A47,'[1]New Data'!A:Q,17,0)</f>
        <v>399.78712239999999</v>
      </c>
      <c r="L384" s="3" t="str">
        <f>VLOOKUP('[1]New Data'!A384,'[1]New Data'!A:S,19,0)</f>
        <v>Books</v>
      </c>
      <c r="M384" s="3" t="str">
        <f>VLOOKUP('[1]New Data'!A384,'[1]New Data'!A:T,20,0)</f>
        <v>Fiction</v>
      </c>
      <c r="N384" s="5">
        <f>VLOOKUP('[1]New Data'!A47,'[1]New Data'!A:Z,25,0)</f>
        <v>4</v>
      </c>
    </row>
    <row r="385" spans="1:14" hidden="1" x14ac:dyDescent="0.35">
      <c r="A385" s="2">
        <v>3112881</v>
      </c>
      <c r="B385" s="2">
        <v>40113</v>
      </c>
      <c r="C385" s="2" t="s">
        <v>405</v>
      </c>
      <c r="D385" s="2" t="s">
        <v>15</v>
      </c>
      <c r="E385" s="3">
        <f>VLOOKUP('[1]New Data'!A235,'[1]New Data'!A:H,8,0)</f>
        <v>30</v>
      </c>
      <c r="F385" s="3" t="str">
        <f>VLOOKUP('[1]New Data'!A235,'[1]New Data'!A:J,10,0)</f>
        <v>Female</v>
      </c>
      <c r="G385" s="3" t="str">
        <f>VLOOKUP('[1]New Data'!A235,'[1]New Data'!A:K,11,0)</f>
        <v>Low</v>
      </c>
      <c r="H385" s="4">
        <f>VLOOKUP('[1]New Data'!A235,'[1]New Data'!A:M,13,0)</f>
        <v>45213</v>
      </c>
      <c r="I385" s="5">
        <f>VLOOKUP('[1]New Data'!A235,'[1]New Data'!A:O,15,0)</f>
        <v>1</v>
      </c>
      <c r="J385" s="3">
        <f>VLOOKUP('[1]New Data'!A235,'[1]New Data'!A:P,16,0)</f>
        <v>397.11996490000001</v>
      </c>
      <c r="K385" s="3">
        <f>VLOOKUP('[1]New Data'!A235,'[1]New Data'!A:Q,17,0)</f>
        <v>397.11996490000001</v>
      </c>
      <c r="L385" s="3" t="str">
        <f>VLOOKUP('[1]New Data'!A385,'[1]New Data'!A:S,19,0)</f>
        <v>Electronics</v>
      </c>
      <c r="M385" s="3" t="str">
        <f>VLOOKUP('[1]New Data'!A385,'[1]New Data'!A:T,20,0)</f>
        <v>Smartphone</v>
      </c>
      <c r="N385" s="5">
        <f>VLOOKUP('[1]New Data'!A235,'[1]New Data'!A:Z,25,0)</f>
        <v>2</v>
      </c>
    </row>
    <row r="386" spans="1:14" hidden="1" x14ac:dyDescent="0.35">
      <c r="A386" s="2">
        <v>6649934</v>
      </c>
      <c r="B386" s="2">
        <v>14855</v>
      </c>
      <c r="C386" s="2" t="s">
        <v>406</v>
      </c>
      <c r="D386" s="2" t="s">
        <v>15</v>
      </c>
      <c r="E386" s="3">
        <f>VLOOKUP('[1]New Data'!A483,'[1]New Data'!A:H,8,0)</f>
        <v>43</v>
      </c>
      <c r="F386" s="3" t="str">
        <f>VLOOKUP('[1]New Data'!A483,'[1]New Data'!A:J,10,0)</f>
        <v>Female</v>
      </c>
      <c r="G386" s="3" t="str">
        <f>VLOOKUP('[1]New Data'!A483,'[1]New Data'!A:K,11,0)</f>
        <v>Medium</v>
      </c>
      <c r="H386" s="4">
        <f>VLOOKUP('[1]New Data'!A483,'[1]New Data'!A:M,13,0)</f>
        <v>45209</v>
      </c>
      <c r="I386" s="5">
        <f>VLOOKUP('[1]New Data'!A483,'[1]New Data'!A:O,15,0)</f>
        <v>2</v>
      </c>
      <c r="J386" s="3">
        <f>VLOOKUP('[1]New Data'!A483,'[1]New Data'!A:P,16,0)</f>
        <v>194.66854079999999</v>
      </c>
      <c r="K386" s="3">
        <f>VLOOKUP('[1]New Data'!A483,'[1]New Data'!A:Q,17,0)</f>
        <v>389.33708159999998</v>
      </c>
      <c r="L386" s="3" t="str">
        <f>VLOOKUP('[1]New Data'!A386,'[1]New Data'!A:S,19,0)</f>
        <v>Books</v>
      </c>
      <c r="M386" s="3" t="str">
        <f>VLOOKUP('[1]New Data'!A386,'[1]New Data'!A:T,20,0)</f>
        <v>Literature</v>
      </c>
      <c r="N386" s="5">
        <f>VLOOKUP('[1]New Data'!A483,'[1]New Data'!A:Z,25,0)</f>
        <v>2</v>
      </c>
    </row>
    <row r="387" spans="1:14" hidden="1" x14ac:dyDescent="0.35">
      <c r="A387" s="2">
        <v>1787881</v>
      </c>
      <c r="B387" s="2">
        <v>45693</v>
      </c>
      <c r="C387" s="2" t="s">
        <v>407</v>
      </c>
      <c r="D387" s="2" t="s">
        <v>15</v>
      </c>
      <c r="E387" s="3">
        <f>VLOOKUP('[1]New Data'!A346,'[1]New Data'!A:H,8,0)</f>
        <v>67</v>
      </c>
      <c r="F387" s="3" t="str">
        <f>VLOOKUP('[1]New Data'!A346,'[1]New Data'!A:J,10,0)</f>
        <v>Male</v>
      </c>
      <c r="G387" s="3" t="str">
        <f>VLOOKUP('[1]New Data'!A346,'[1]New Data'!A:K,11,0)</f>
        <v>Low</v>
      </c>
      <c r="H387" s="4">
        <f>VLOOKUP('[1]New Data'!A346,'[1]New Data'!A:M,13,0)</f>
        <v>45241</v>
      </c>
      <c r="I387" s="5">
        <f>VLOOKUP('[1]New Data'!A346,'[1]New Data'!A:O,15,0)</f>
        <v>7</v>
      </c>
      <c r="J387" s="3">
        <f>VLOOKUP('[1]New Data'!A346,'[1]New Data'!A:P,16,0)</f>
        <v>54.659264460000003</v>
      </c>
      <c r="K387" s="3">
        <f>VLOOKUP('[1]New Data'!A346,'[1]New Data'!A:Q,17,0)</f>
        <v>382.61485119999998</v>
      </c>
      <c r="L387" s="3" t="str">
        <f>VLOOKUP('[1]New Data'!A387,'[1]New Data'!A:S,19,0)</f>
        <v>Books</v>
      </c>
      <c r="M387" s="3" t="str">
        <f>VLOOKUP('[1]New Data'!A387,'[1]New Data'!A:T,20,0)</f>
        <v>Thriller</v>
      </c>
      <c r="N387" s="5">
        <f>VLOOKUP('[1]New Data'!A346,'[1]New Data'!A:Z,25,0)</f>
        <v>1</v>
      </c>
    </row>
    <row r="388" spans="1:14" hidden="1" x14ac:dyDescent="0.35">
      <c r="A388" s="2">
        <v>8579093</v>
      </c>
      <c r="B388" s="2">
        <v>11135</v>
      </c>
      <c r="C388" s="2" t="s">
        <v>408</v>
      </c>
      <c r="D388" s="2" t="s">
        <v>15</v>
      </c>
      <c r="E388" s="3">
        <f>VLOOKUP('[1]New Data'!A231,'[1]New Data'!A:H,8,0)</f>
        <v>37</v>
      </c>
      <c r="F388" s="3" t="str">
        <f>VLOOKUP('[1]New Data'!A231,'[1]New Data'!A:J,10,0)</f>
        <v>Male</v>
      </c>
      <c r="G388" s="3" t="str">
        <f>VLOOKUP('[1]New Data'!A231,'[1]New Data'!A:K,11,0)</f>
        <v>Low</v>
      </c>
      <c r="H388" s="4">
        <f>VLOOKUP('[1]New Data'!A231,'[1]New Data'!A:M,13,0)</f>
        <v>45351</v>
      </c>
      <c r="I388" s="5">
        <f>VLOOKUP('[1]New Data'!A231,'[1]New Data'!A:O,15,0)</f>
        <v>4</v>
      </c>
      <c r="J388" s="3">
        <f>VLOOKUP('[1]New Data'!A231,'[1]New Data'!A:P,16,0)</f>
        <v>95.456214110000005</v>
      </c>
      <c r="K388" s="3">
        <f>VLOOKUP('[1]New Data'!A231,'[1]New Data'!A:Q,17,0)</f>
        <v>381.82485639999999</v>
      </c>
      <c r="L388" s="3" t="str">
        <f>VLOOKUP('[1]New Data'!A388,'[1]New Data'!A:S,19,0)</f>
        <v>Grocery</v>
      </c>
      <c r="M388" s="3" t="str">
        <f>VLOOKUP('[1]New Data'!A388,'[1]New Data'!A:T,20,0)</f>
        <v>Juice</v>
      </c>
      <c r="N388" s="5">
        <f>VLOOKUP('[1]New Data'!A231,'[1]New Data'!A:Z,25,0)</f>
        <v>3</v>
      </c>
    </row>
    <row r="389" spans="1:14" x14ac:dyDescent="0.35">
      <c r="A389" s="2">
        <v>1194954</v>
      </c>
      <c r="B389" s="2">
        <v>13566</v>
      </c>
      <c r="C389" s="2" t="s">
        <v>409</v>
      </c>
      <c r="D389" s="2" t="s">
        <v>15</v>
      </c>
      <c r="E389" s="3">
        <f>VLOOKUP('[1]New Data'!A105,'[1]New Data'!A:H,8,0)</f>
        <v>26</v>
      </c>
      <c r="F389" s="3" t="str">
        <f>VLOOKUP('[1]New Data'!A105,'[1]New Data'!A:J,10,0)</f>
        <v>Female</v>
      </c>
      <c r="G389" s="3" t="str">
        <f>VLOOKUP('[1]New Data'!A105,'[1]New Data'!A:K,11,0)</f>
        <v>Low</v>
      </c>
      <c r="H389" s="4">
        <f>VLOOKUP('[1]New Data'!A105,'[1]New Data'!A:M,13,0)</f>
        <v>45110</v>
      </c>
      <c r="I389" s="5">
        <f>VLOOKUP('[1]New Data'!A105,'[1]New Data'!A:O,15,0)</f>
        <v>1</v>
      </c>
      <c r="J389" s="3">
        <f>VLOOKUP('[1]New Data'!A105,'[1]New Data'!A:P,16,0)</f>
        <v>377.61376890000003</v>
      </c>
      <c r="K389" s="3">
        <f>VLOOKUP('[1]New Data'!A105,'[1]New Data'!A:Q,17,0)</f>
        <v>377.61376890000003</v>
      </c>
      <c r="L389" s="3" t="str">
        <f>VLOOKUP('[1]New Data'!A389,'[1]New Data'!A:S,19,0)</f>
        <v>Home Decor</v>
      </c>
      <c r="M389" s="3" t="str">
        <f>VLOOKUP('[1]New Data'!A389,'[1]New Data'!A:T,20,0)</f>
        <v>Decorations</v>
      </c>
      <c r="N389" s="5">
        <f>VLOOKUP('[1]New Data'!A105,'[1]New Data'!A:Z,25,0)</f>
        <v>3</v>
      </c>
    </row>
    <row r="390" spans="1:14" x14ac:dyDescent="0.35">
      <c r="A390" s="2">
        <v>1609659</v>
      </c>
      <c r="B390" s="2">
        <v>66883</v>
      </c>
      <c r="C390" s="2" t="s">
        <v>410</v>
      </c>
      <c r="D390" s="2" t="s">
        <v>15</v>
      </c>
      <c r="E390" s="3">
        <f>VLOOKUP('[1]New Data'!A13,'[1]New Data'!A:H,8,0)</f>
        <v>31</v>
      </c>
      <c r="F390" s="3" t="str">
        <f>VLOOKUP('[1]New Data'!A13,'[1]New Data'!A:J,10,0)</f>
        <v>Female</v>
      </c>
      <c r="G390" s="3" t="str">
        <f>VLOOKUP('[1]New Data'!A13,'[1]New Data'!A:K,11,0)</f>
        <v>Medium</v>
      </c>
      <c r="H390" s="4">
        <f>VLOOKUP('[1]New Data'!A13,'[1]New Data'!A:M,13,0)</f>
        <v>45098</v>
      </c>
      <c r="I390" s="5">
        <f>VLOOKUP('[1]New Data'!A13,'[1]New Data'!A:O,15,0)</f>
        <v>1</v>
      </c>
      <c r="J390" s="3">
        <f>VLOOKUP('[1]New Data'!A13,'[1]New Data'!A:P,16,0)</f>
        <v>364.83056690000001</v>
      </c>
      <c r="K390" s="3">
        <f>VLOOKUP('[1]New Data'!A13,'[1]New Data'!A:Q,17,0)</f>
        <v>364.83056690000001</v>
      </c>
      <c r="L390" s="3" t="str">
        <f>VLOOKUP('[1]New Data'!A390,'[1]New Data'!A:S,19,0)</f>
        <v>Home Decor</v>
      </c>
      <c r="M390" s="3" t="str">
        <f>VLOOKUP('[1]New Data'!A390,'[1]New Data'!A:T,20,0)</f>
        <v>Kitchen</v>
      </c>
      <c r="N390" s="5">
        <f>VLOOKUP('[1]New Data'!A13,'[1]New Data'!A:Z,25,0)</f>
        <v>2</v>
      </c>
    </row>
    <row r="391" spans="1:14" hidden="1" x14ac:dyDescent="0.35">
      <c r="A391" s="2">
        <v>8493213</v>
      </c>
      <c r="B391" s="2">
        <v>19136</v>
      </c>
      <c r="C391" s="2" t="s">
        <v>411</v>
      </c>
      <c r="D391" s="2" t="s">
        <v>15</v>
      </c>
      <c r="E391" s="3">
        <f>VLOOKUP('[1]New Data'!A12,'[1]New Data'!A:H,8,0)</f>
        <v>64</v>
      </c>
      <c r="F391" s="3" t="str">
        <f>VLOOKUP('[1]New Data'!A12,'[1]New Data'!A:J,10,0)</f>
        <v>Female</v>
      </c>
      <c r="G391" s="3" t="str">
        <f>VLOOKUP('[1]New Data'!A12,'[1]New Data'!A:K,11,0)</f>
        <v>Low</v>
      </c>
      <c r="H391" s="4">
        <f>VLOOKUP('[1]New Data'!A12,'[1]New Data'!A:M,13,0)</f>
        <v>45127</v>
      </c>
      <c r="I391" s="5">
        <f>VLOOKUP('[1]New Data'!A12,'[1]New Data'!A:O,15,0)</f>
        <v>4</v>
      </c>
      <c r="J391" s="3">
        <f>VLOOKUP('[1]New Data'!A12,'[1]New Data'!A:P,16,0)</f>
        <v>90.981869750000001</v>
      </c>
      <c r="K391" s="3">
        <f>VLOOKUP('[1]New Data'!A12,'[1]New Data'!A:Q,17,0)</f>
        <v>363.92747900000001</v>
      </c>
      <c r="L391" s="3" t="str">
        <f>VLOOKUP('[1]New Data'!A391,'[1]New Data'!A:S,19,0)</f>
        <v>Electronics</v>
      </c>
      <c r="M391" s="3" t="str">
        <f>VLOOKUP('[1]New Data'!A391,'[1]New Data'!A:T,20,0)</f>
        <v>Smartphone</v>
      </c>
      <c r="N391" s="5">
        <f>VLOOKUP('[1]New Data'!A12,'[1]New Data'!A:Z,25,0)</f>
        <v>2</v>
      </c>
    </row>
    <row r="392" spans="1:14" hidden="1" x14ac:dyDescent="0.35">
      <c r="A392" s="2">
        <v>6146438</v>
      </c>
      <c r="B392" s="2">
        <v>84556</v>
      </c>
      <c r="C392" s="2" t="s">
        <v>412</v>
      </c>
      <c r="D392" s="2" t="s">
        <v>15</v>
      </c>
      <c r="E392" s="3">
        <f>VLOOKUP('[1]New Data'!A266,'[1]New Data'!A:H,8,0)</f>
        <v>40</v>
      </c>
      <c r="F392" s="3" t="str">
        <f>VLOOKUP('[1]New Data'!A266,'[1]New Data'!A:J,10,0)</f>
        <v>Male</v>
      </c>
      <c r="G392" s="3" t="str">
        <f>VLOOKUP('[1]New Data'!A266,'[1]New Data'!A:K,11,0)</f>
        <v>Medium</v>
      </c>
      <c r="H392" s="4">
        <f>VLOOKUP('[1]New Data'!A266,'[1]New Data'!A:M,13,0)</f>
        <v>45249</v>
      </c>
      <c r="I392" s="5">
        <f>VLOOKUP('[1]New Data'!A266,'[1]New Data'!A:O,15,0)</f>
        <v>1</v>
      </c>
      <c r="J392" s="3">
        <f>VLOOKUP('[1]New Data'!A266,'[1]New Data'!A:P,16,0)</f>
        <v>357.67803709999998</v>
      </c>
      <c r="K392" s="3">
        <f>VLOOKUP('[1]New Data'!A266,'[1]New Data'!A:Q,17,0)</f>
        <v>357.67803709999998</v>
      </c>
      <c r="L392" s="3" t="str">
        <f>VLOOKUP('[1]New Data'!A392,'[1]New Data'!A:S,19,0)</f>
        <v>Electronics</v>
      </c>
      <c r="M392" s="3" t="str">
        <f>VLOOKUP('[1]New Data'!A392,'[1]New Data'!A:T,20,0)</f>
        <v>Smartphone</v>
      </c>
      <c r="N392" s="5">
        <f>VLOOKUP('[1]New Data'!A266,'[1]New Data'!A:Z,25,0)</f>
        <v>5</v>
      </c>
    </row>
    <row r="393" spans="1:14" hidden="1" x14ac:dyDescent="0.35">
      <c r="A393" s="2">
        <v>9329957</v>
      </c>
      <c r="B393" s="2">
        <v>55159</v>
      </c>
      <c r="C393" s="2" t="s">
        <v>413</v>
      </c>
      <c r="D393" s="2" t="s">
        <v>15</v>
      </c>
      <c r="E393" s="3">
        <f>VLOOKUP('[1]New Data'!A116,'[1]New Data'!A:H,8,0)</f>
        <v>50</v>
      </c>
      <c r="F393" s="3" t="str">
        <f>VLOOKUP('[1]New Data'!A116,'[1]New Data'!A:J,10,0)</f>
        <v>Male</v>
      </c>
      <c r="G393" s="3" t="str">
        <f>VLOOKUP('[1]New Data'!A116,'[1]New Data'!A:K,11,0)</f>
        <v>Medium</v>
      </c>
      <c r="H393" s="4">
        <f>VLOOKUP('[1]New Data'!A116,'[1]New Data'!A:M,13,0)</f>
        <v>45328</v>
      </c>
      <c r="I393" s="5">
        <f>VLOOKUP('[1]New Data'!A116,'[1]New Data'!A:O,15,0)</f>
        <v>1</v>
      </c>
      <c r="J393" s="3">
        <f>VLOOKUP('[1]New Data'!A116,'[1]New Data'!A:P,16,0)</f>
        <v>354.69518169999998</v>
      </c>
      <c r="K393" s="3">
        <f>VLOOKUP('[1]New Data'!A116,'[1]New Data'!A:Q,17,0)</f>
        <v>354.69518169999998</v>
      </c>
      <c r="L393" s="3" t="str">
        <f>VLOOKUP('[1]New Data'!A393,'[1]New Data'!A:S,19,0)</f>
        <v>Books</v>
      </c>
      <c r="M393" s="3" t="str">
        <f>VLOOKUP('[1]New Data'!A393,'[1]New Data'!A:T,20,0)</f>
        <v>Children's</v>
      </c>
      <c r="N393" s="5">
        <f>VLOOKUP('[1]New Data'!A116,'[1]New Data'!A:Z,25,0)</f>
        <v>4</v>
      </c>
    </row>
    <row r="394" spans="1:14" hidden="1" x14ac:dyDescent="0.35">
      <c r="A394" s="2">
        <v>2286430</v>
      </c>
      <c r="B394" s="2">
        <v>42358</v>
      </c>
      <c r="C394" s="2" t="s">
        <v>414</v>
      </c>
      <c r="D394" s="2" t="s">
        <v>15</v>
      </c>
      <c r="E394" s="3">
        <f>VLOOKUP('[1]New Data'!A320,'[1]New Data'!A:H,8,0)</f>
        <v>67</v>
      </c>
      <c r="F394" s="3" t="str">
        <f>VLOOKUP('[1]New Data'!A320,'[1]New Data'!A:J,10,0)</f>
        <v>Female</v>
      </c>
      <c r="G394" s="3" t="str">
        <f>VLOOKUP('[1]New Data'!A320,'[1]New Data'!A:K,11,0)</f>
        <v>High</v>
      </c>
      <c r="H394" s="4">
        <f>VLOOKUP('[1]New Data'!A320,'[1]New Data'!A:M,13,0)</f>
        <v>45014</v>
      </c>
      <c r="I394" s="5">
        <f>VLOOKUP('[1]New Data'!A320,'[1]New Data'!A:O,15,0)</f>
        <v>2</v>
      </c>
      <c r="J394" s="3">
        <f>VLOOKUP('[1]New Data'!A320,'[1]New Data'!A:P,16,0)</f>
        <v>174.9739514</v>
      </c>
      <c r="K394" s="3">
        <f>VLOOKUP('[1]New Data'!A320,'[1]New Data'!A:Q,17,0)</f>
        <v>349.94790289999997</v>
      </c>
      <c r="L394" s="3" t="str">
        <f>VLOOKUP('[1]New Data'!A394,'[1]New Data'!A:S,19,0)</f>
        <v>Grocery</v>
      </c>
      <c r="M394" s="3" t="str">
        <f>VLOOKUP('[1]New Data'!A394,'[1]New Data'!A:T,20,0)</f>
        <v>Juice</v>
      </c>
      <c r="N394" s="5">
        <f>VLOOKUP('[1]New Data'!A320,'[1]New Data'!A:Z,25,0)</f>
        <v>3</v>
      </c>
    </row>
    <row r="395" spans="1:14" hidden="1" x14ac:dyDescent="0.35">
      <c r="A395" s="2">
        <v>9082675</v>
      </c>
      <c r="B395" s="2">
        <v>56459</v>
      </c>
      <c r="C395" s="2" t="s">
        <v>415</v>
      </c>
      <c r="D395" s="2" t="s">
        <v>15</v>
      </c>
      <c r="E395" s="3">
        <f>VLOOKUP('[1]New Data'!A254,'[1]New Data'!A:H,8,0)</f>
        <v>18</v>
      </c>
      <c r="F395" s="3" t="str">
        <f>VLOOKUP('[1]New Data'!A254,'[1]New Data'!A:J,10,0)</f>
        <v>Male</v>
      </c>
      <c r="G395" s="3" t="str">
        <f>VLOOKUP('[1]New Data'!A254,'[1]New Data'!A:K,11,0)</f>
        <v>Medium</v>
      </c>
      <c r="H395" s="4">
        <f>VLOOKUP('[1]New Data'!A254,'[1]New Data'!A:M,13,0)</f>
        <v>45205</v>
      </c>
      <c r="I395" s="5">
        <f>VLOOKUP('[1]New Data'!A254,'[1]New Data'!A:O,15,0)</f>
        <v>3</v>
      </c>
      <c r="J395" s="3">
        <f>VLOOKUP('[1]New Data'!A254,'[1]New Data'!A:P,16,0)</f>
        <v>112.2262928</v>
      </c>
      <c r="K395" s="3">
        <f>VLOOKUP('[1]New Data'!A254,'[1]New Data'!A:Q,17,0)</f>
        <v>336.6788785</v>
      </c>
      <c r="L395" s="3" t="str">
        <f>VLOOKUP('[1]New Data'!A395,'[1]New Data'!A:S,19,0)</f>
        <v>Grocery</v>
      </c>
      <c r="M395" s="3" t="str">
        <f>VLOOKUP('[1]New Data'!A395,'[1]New Data'!A:T,20,0)</f>
        <v>Juice</v>
      </c>
      <c r="N395" s="5">
        <f>VLOOKUP('[1]New Data'!A254,'[1]New Data'!A:Z,25,0)</f>
        <v>1</v>
      </c>
    </row>
    <row r="396" spans="1:14" hidden="1" x14ac:dyDescent="0.35">
      <c r="A396" s="2">
        <v>5648072</v>
      </c>
      <c r="B396" s="2">
        <v>89211</v>
      </c>
      <c r="C396" s="2" t="s">
        <v>416</v>
      </c>
      <c r="D396" s="2" t="s">
        <v>15</v>
      </c>
      <c r="E396" s="3">
        <f>VLOOKUP('[1]New Data'!A160,'[1]New Data'!A:H,8,0)</f>
        <v>27</v>
      </c>
      <c r="F396" s="3" t="str">
        <f>VLOOKUP('[1]New Data'!A160,'[1]New Data'!A:J,10,0)</f>
        <v>Female</v>
      </c>
      <c r="G396" s="3" t="str">
        <f>VLOOKUP('[1]New Data'!A160,'[1]New Data'!A:K,11,0)</f>
        <v>Medium</v>
      </c>
      <c r="H396" s="4">
        <f>VLOOKUP('[1]New Data'!A160,'[1]New Data'!A:M,13,0)</f>
        <v>45347</v>
      </c>
      <c r="I396" s="5">
        <f>VLOOKUP('[1]New Data'!A160,'[1]New Data'!A:O,15,0)</f>
        <v>2</v>
      </c>
      <c r="J396" s="3">
        <f>VLOOKUP('[1]New Data'!A160,'[1]New Data'!A:P,16,0)</f>
        <v>168.017706</v>
      </c>
      <c r="K396" s="3">
        <f>VLOOKUP('[1]New Data'!A160,'[1]New Data'!A:Q,17,0)</f>
        <v>336.03541200000001</v>
      </c>
      <c r="L396" s="3" t="str">
        <f>VLOOKUP('[1]New Data'!A396,'[1]New Data'!A:S,19,0)</f>
        <v>Electronics</v>
      </c>
      <c r="M396" s="3" t="str">
        <f>VLOOKUP('[1]New Data'!A396,'[1]New Data'!A:T,20,0)</f>
        <v>Tablet</v>
      </c>
      <c r="N396" s="5">
        <f>VLOOKUP('[1]New Data'!A160,'[1]New Data'!A:Z,25,0)</f>
        <v>1</v>
      </c>
    </row>
    <row r="397" spans="1:14" hidden="1" x14ac:dyDescent="0.35">
      <c r="A397" s="2">
        <v>5256338</v>
      </c>
      <c r="B397" s="2">
        <v>75024</v>
      </c>
      <c r="C397" s="2" t="s">
        <v>417</v>
      </c>
      <c r="D397" s="2" t="s">
        <v>15</v>
      </c>
      <c r="E397" s="3">
        <f>VLOOKUP('[1]New Data'!A465,'[1]New Data'!A:H,8,0)</f>
        <v>55</v>
      </c>
      <c r="F397" s="3" t="str">
        <f>VLOOKUP('[1]New Data'!A465,'[1]New Data'!A:J,10,0)</f>
        <v>Male</v>
      </c>
      <c r="G397" s="3" t="str">
        <f>VLOOKUP('[1]New Data'!A465,'[1]New Data'!A:K,11,0)</f>
        <v>Low</v>
      </c>
      <c r="H397" s="4">
        <f>VLOOKUP('[1]New Data'!A465,'[1]New Data'!A:M,13,0)</f>
        <v>45077</v>
      </c>
      <c r="I397" s="5">
        <f>VLOOKUP('[1]New Data'!A465,'[1]New Data'!A:O,15,0)</f>
        <v>1</v>
      </c>
      <c r="J397" s="3">
        <f>VLOOKUP('[1]New Data'!A465,'[1]New Data'!A:P,16,0)</f>
        <v>331.83922819999998</v>
      </c>
      <c r="K397" s="3">
        <f>VLOOKUP('[1]New Data'!A465,'[1]New Data'!A:Q,17,0)</f>
        <v>331.83922819999998</v>
      </c>
      <c r="L397" s="3" t="str">
        <f>VLOOKUP('[1]New Data'!A397,'[1]New Data'!A:S,19,0)</f>
        <v>Clothing</v>
      </c>
      <c r="M397" s="3" t="str">
        <f>VLOOKUP('[1]New Data'!A397,'[1]New Data'!A:T,20,0)</f>
        <v>Jeans</v>
      </c>
      <c r="N397" s="5">
        <f>VLOOKUP('[1]New Data'!A465,'[1]New Data'!A:Z,25,0)</f>
        <v>4</v>
      </c>
    </row>
    <row r="398" spans="1:14" x14ac:dyDescent="0.35">
      <c r="A398" s="2">
        <v>6615647</v>
      </c>
      <c r="B398" s="2">
        <v>50869</v>
      </c>
      <c r="C398" s="2" t="s">
        <v>418</v>
      </c>
      <c r="D398" s="2" t="s">
        <v>15</v>
      </c>
      <c r="E398" s="3">
        <f>VLOOKUP('[1]New Data'!A318,'[1]New Data'!A:H,8,0)</f>
        <v>62</v>
      </c>
      <c r="F398" s="3" t="str">
        <f>VLOOKUP('[1]New Data'!A318,'[1]New Data'!A:J,10,0)</f>
        <v>Male</v>
      </c>
      <c r="G398" s="3" t="str">
        <f>VLOOKUP('[1]New Data'!A318,'[1]New Data'!A:K,11,0)</f>
        <v>Low</v>
      </c>
      <c r="H398" s="4">
        <f>VLOOKUP('[1]New Data'!A318,'[1]New Data'!A:M,13,0)</f>
        <v>45339</v>
      </c>
      <c r="I398" s="5">
        <f>VLOOKUP('[1]New Data'!A318,'[1]New Data'!A:O,15,0)</f>
        <v>10</v>
      </c>
      <c r="J398" s="3">
        <f>VLOOKUP('[1]New Data'!A318,'[1]New Data'!A:P,16,0)</f>
        <v>32.975938149999998</v>
      </c>
      <c r="K398" s="3">
        <f>VLOOKUP('[1]New Data'!A318,'[1]New Data'!A:Q,17,0)</f>
        <v>329.75938150000002</v>
      </c>
      <c r="L398" s="3" t="str">
        <f>VLOOKUP('[1]New Data'!A398,'[1]New Data'!A:S,19,0)</f>
        <v>Home Decor</v>
      </c>
      <c r="M398" s="3" t="str">
        <f>VLOOKUP('[1]New Data'!A398,'[1]New Data'!A:T,20,0)</f>
        <v>Lighting</v>
      </c>
      <c r="N398" s="5">
        <f>VLOOKUP('[1]New Data'!A318,'[1]New Data'!A:Z,25,0)</f>
        <v>1</v>
      </c>
    </row>
    <row r="399" spans="1:14" hidden="1" x14ac:dyDescent="0.35">
      <c r="A399" s="2">
        <v>8691788</v>
      </c>
      <c r="B399" s="2">
        <v>37249</v>
      </c>
      <c r="C399" s="2" t="s">
        <v>419</v>
      </c>
      <c r="D399" s="2" t="s">
        <v>420</v>
      </c>
      <c r="E399" s="3">
        <f>VLOOKUP('[1]New Data'!A2,'[1]New Data'!A:H,8,0)</f>
        <v>21</v>
      </c>
      <c r="F399" s="3" t="str">
        <f>VLOOKUP('[1]New Data'!A2,'[1]New Data'!A:J,10,0)</f>
        <v>Male</v>
      </c>
      <c r="G399" s="3" t="str">
        <f>VLOOKUP('[1]New Data'!A2,'[1]New Data'!A:K,11,0)</f>
        <v>Low</v>
      </c>
      <c r="H399" s="4">
        <f>VLOOKUP('[1]New Data'!A2,'[1]New Data'!A:M,13,0)</f>
        <v>45187</v>
      </c>
      <c r="I399" s="5">
        <f>VLOOKUP('[1]New Data'!A2,'[1]New Data'!A:O,15,0)</f>
        <v>3</v>
      </c>
      <c r="J399" s="3">
        <f>VLOOKUP('[1]New Data'!A2,'[1]New Data'!A:P,16,0)</f>
        <v>108.0287567</v>
      </c>
      <c r="K399" s="3">
        <f>VLOOKUP('[1]New Data'!A2,'[1]New Data'!A:Q,17,0)</f>
        <v>324.08627000000001</v>
      </c>
      <c r="L399" s="3" t="str">
        <f>VLOOKUP('[1]New Data'!A399,'[1]New Data'!A:S,19,0)</f>
        <v>Grocery</v>
      </c>
      <c r="M399" s="3" t="str">
        <f>VLOOKUP('[1]New Data'!A399,'[1]New Data'!A:T,20,0)</f>
        <v>Juice</v>
      </c>
      <c r="N399" s="5">
        <f>VLOOKUP('[1]New Data'!A2,'[1]New Data'!A:Z,25,0)</f>
        <v>5</v>
      </c>
    </row>
    <row r="400" spans="1:14" x14ac:dyDescent="0.35">
      <c r="A400" s="2">
        <v>4138830</v>
      </c>
      <c r="B400" s="2">
        <v>17705</v>
      </c>
      <c r="C400" s="2" t="s">
        <v>421</v>
      </c>
      <c r="D400" s="2" t="s">
        <v>15</v>
      </c>
      <c r="E400" s="3">
        <f>VLOOKUP('[1]New Data'!A439,'[1]New Data'!A:H,8,0)</f>
        <v>62</v>
      </c>
      <c r="F400" s="3" t="str">
        <f>VLOOKUP('[1]New Data'!A439,'[1]New Data'!A:J,10,0)</f>
        <v>Male</v>
      </c>
      <c r="G400" s="3" t="str">
        <f>VLOOKUP('[1]New Data'!A439,'[1]New Data'!A:K,11,0)</f>
        <v>Low</v>
      </c>
      <c r="H400" s="4">
        <f>VLOOKUP('[1]New Data'!A439,'[1]New Data'!A:M,13,0)</f>
        <v>45121</v>
      </c>
      <c r="I400" s="5">
        <f>VLOOKUP('[1]New Data'!A439,'[1]New Data'!A:O,15,0)</f>
        <v>5</v>
      </c>
      <c r="J400" s="3">
        <f>VLOOKUP('[1]New Data'!A439,'[1]New Data'!A:P,16,0)</f>
        <v>64.802432789999997</v>
      </c>
      <c r="K400" s="3">
        <f>VLOOKUP('[1]New Data'!A439,'[1]New Data'!A:Q,17,0)</f>
        <v>324.01216390000002</v>
      </c>
      <c r="L400" s="3" t="str">
        <f>VLOOKUP('[1]New Data'!A400,'[1]New Data'!A:S,19,0)</f>
        <v>Home Decor</v>
      </c>
      <c r="M400" s="3" t="str">
        <f>VLOOKUP('[1]New Data'!A400,'[1]New Data'!A:T,20,0)</f>
        <v>Kitchen</v>
      </c>
      <c r="N400" s="5">
        <f>VLOOKUP('[1]New Data'!A439,'[1]New Data'!A:Z,25,0)</f>
        <v>5</v>
      </c>
    </row>
    <row r="401" spans="1:14" hidden="1" x14ac:dyDescent="0.35">
      <c r="A401" s="2">
        <v>3601539</v>
      </c>
      <c r="B401" s="2">
        <v>93979</v>
      </c>
      <c r="C401" s="2" t="s">
        <v>422</v>
      </c>
      <c r="D401" s="2" t="s">
        <v>15</v>
      </c>
      <c r="E401" s="3">
        <f>VLOOKUP('[1]New Data'!A234,'[1]New Data'!A:H,8,0)</f>
        <v>43.717434869739478</v>
      </c>
      <c r="F401" s="3" t="str">
        <f>VLOOKUP('[1]New Data'!A234,'[1]New Data'!A:J,10,0)</f>
        <v>Female</v>
      </c>
      <c r="G401" s="3" t="str">
        <f>VLOOKUP('[1]New Data'!A234,'[1]New Data'!A:K,11,0)</f>
        <v>Low</v>
      </c>
      <c r="H401" s="4">
        <f>VLOOKUP('[1]New Data'!A234,'[1]New Data'!A:M,13,0)</f>
        <v>45300</v>
      </c>
      <c r="I401" s="5">
        <f>VLOOKUP('[1]New Data'!A234,'[1]New Data'!A:O,15,0)</f>
        <v>10</v>
      </c>
      <c r="J401" s="3">
        <f>VLOOKUP('[1]New Data'!A234,'[1]New Data'!A:P,16,0)</f>
        <v>32.115559070000003</v>
      </c>
      <c r="K401" s="3">
        <f>VLOOKUP('[1]New Data'!A234,'[1]New Data'!A:Q,17,0)</f>
        <v>321.1555907</v>
      </c>
      <c r="L401" s="3" t="str">
        <f>VLOOKUP('[1]New Data'!A401,'[1]New Data'!A:S,19,0)</f>
        <v>Books</v>
      </c>
      <c r="M401" s="3" t="str">
        <f>VLOOKUP('[1]New Data'!A401,'[1]New Data'!A:T,20,0)</f>
        <v>Fiction</v>
      </c>
      <c r="N401" s="5">
        <f>VLOOKUP('[1]New Data'!A234,'[1]New Data'!A:Z,25,0)</f>
        <v>2</v>
      </c>
    </row>
    <row r="402" spans="1:14" hidden="1" x14ac:dyDescent="0.35">
      <c r="A402" s="2">
        <v>4963956</v>
      </c>
      <c r="B402" s="2">
        <v>98120</v>
      </c>
      <c r="C402" s="2" t="s">
        <v>423</v>
      </c>
      <c r="D402" s="2" t="s">
        <v>15</v>
      </c>
      <c r="E402" s="3">
        <f>VLOOKUP('[1]New Data'!A434,'[1]New Data'!A:H,8,0)</f>
        <v>68</v>
      </c>
      <c r="F402" s="3" t="str">
        <f>VLOOKUP('[1]New Data'!A434,'[1]New Data'!A:J,10,0)</f>
        <v>Male</v>
      </c>
      <c r="G402" s="3" t="str">
        <f>VLOOKUP('[1]New Data'!A434,'[1]New Data'!A:K,11,0)</f>
        <v>Medium</v>
      </c>
      <c r="H402" s="4">
        <f>VLOOKUP('[1]New Data'!A434,'[1]New Data'!A:M,13,0)</f>
        <v>45207</v>
      </c>
      <c r="I402" s="5">
        <f>VLOOKUP('[1]New Data'!A434,'[1]New Data'!A:O,15,0)</f>
        <v>8</v>
      </c>
      <c r="J402" s="3">
        <f>VLOOKUP('[1]New Data'!A434,'[1]New Data'!A:P,16,0)</f>
        <v>39.853110950000001</v>
      </c>
      <c r="K402" s="3">
        <f>VLOOKUP('[1]New Data'!A434,'[1]New Data'!A:Q,17,0)</f>
        <v>318.82488760000001</v>
      </c>
      <c r="L402" s="3" t="str">
        <f>VLOOKUP('[1]New Data'!A402,'[1]New Data'!A:S,19,0)</f>
        <v>Grocery</v>
      </c>
      <c r="M402" s="3" t="str">
        <f>VLOOKUP('[1]New Data'!A402,'[1]New Data'!A:T,20,0)</f>
        <v>Juice</v>
      </c>
      <c r="N402" s="5">
        <f>VLOOKUP('[1]New Data'!A434,'[1]New Data'!A:Z,25,0)</f>
        <v>3</v>
      </c>
    </row>
    <row r="403" spans="1:14" hidden="1" x14ac:dyDescent="0.35">
      <c r="A403" s="2">
        <v>8342496</v>
      </c>
      <c r="B403" s="2">
        <v>43083</v>
      </c>
      <c r="C403" s="2" t="s">
        <v>424</v>
      </c>
      <c r="D403" s="2" t="s">
        <v>15</v>
      </c>
      <c r="E403" s="3">
        <f>VLOOKUP('[1]New Data'!A389,'[1]New Data'!A:H,8,0)</f>
        <v>40</v>
      </c>
      <c r="F403" s="3" t="str">
        <f>VLOOKUP('[1]New Data'!A389,'[1]New Data'!A:J,10,0)</f>
        <v>Male</v>
      </c>
      <c r="G403" s="3" t="str">
        <f>VLOOKUP('[1]New Data'!A389,'[1]New Data'!A:K,11,0)</f>
        <v>Low</v>
      </c>
      <c r="H403" s="4">
        <f>VLOOKUP('[1]New Data'!A389,'[1]New Data'!A:M,13,0)</f>
        <v>45054</v>
      </c>
      <c r="I403" s="5">
        <f>VLOOKUP('[1]New Data'!A389,'[1]New Data'!A:O,15,0)</f>
        <v>2</v>
      </c>
      <c r="J403" s="3">
        <f>VLOOKUP('[1]New Data'!A389,'[1]New Data'!A:P,16,0)</f>
        <v>158.79170339999999</v>
      </c>
      <c r="K403" s="3">
        <f>VLOOKUP('[1]New Data'!A389,'[1]New Data'!A:Q,17,0)</f>
        <v>317.58340670000001</v>
      </c>
      <c r="L403" s="3" t="str">
        <f>VLOOKUP('[1]New Data'!A403,'[1]New Data'!A:S,19,0)</f>
        <v>Grocery</v>
      </c>
      <c r="M403" s="3" t="str">
        <f>VLOOKUP('[1]New Data'!A403,'[1]New Data'!A:T,20,0)</f>
        <v>Chocolate</v>
      </c>
      <c r="N403" s="5">
        <f>VLOOKUP('[1]New Data'!A389,'[1]New Data'!A:Z,25,0)</f>
        <v>4</v>
      </c>
    </row>
    <row r="404" spans="1:14" hidden="1" x14ac:dyDescent="0.35">
      <c r="A404" s="2">
        <v>5343974</v>
      </c>
      <c r="B404" s="2">
        <v>66428</v>
      </c>
      <c r="C404" s="2" t="s">
        <v>425</v>
      </c>
      <c r="D404" s="2" t="s">
        <v>15</v>
      </c>
      <c r="E404" s="3">
        <f>VLOOKUP('[1]New Data'!A134,'[1]New Data'!A:H,8,0)</f>
        <v>48</v>
      </c>
      <c r="F404" s="3" t="str">
        <f>VLOOKUP('[1]New Data'!A134,'[1]New Data'!A:J,10,0)</f>
        <v>Female</v>
      </c>
      <c r="G404" s="3" t="str">
        <f>VLOOKUP('[1]New Data'!A134,'[1]New Data'!A:K,11,0)</f>
        <v>Medium</v>
      </c>
      <c r="H404" s="4">
        <f>VLOOKUP('[1]New Data'!A134,'[1]New Data'!A:M,13,0)</f>
        <v>45258</v>
      </c>
      <c r="I404" s="5">
        <f>VLOOKUP('[1]New Data'!A134,'[1]New Data'!A:O,15,0)</f>
        <v>1</v>
      </c>
      <c r="J404" s="3">
        <f>VLOOKUP('[1]New Data'!A134,'[1]New Data'!A:P,16,0)</f>
        <v>315.7222744</v>
      </c>
      <c r="K404" s="3">
        <f>VLOOKUP('[1]New Data'!A134,'[1]New Data'!A:Q,17,0)</f>
        <v>315.7222744</v>
      </c>
      <c r="L404" s="3" t="str">
        <f>VLOOKUP('[1]New Data'!A404,'[1]New Data'!A:S,19,0)</f>
        <v>Books</v>
      </c>
      <c r="M404" s="3" t="str">
        <f>VLOOKUP('[1]New Data'!A404,'[1]New Data'!A:T,20,0)</f>
        <v>Fiction</v>
      </c>
      <c r="N404" s="5">
        <f>VLOOKUP('[1]New Data'!A134,'[1]New Data'!A:Z,25,0)</f>
        <v>1</v>
      </c>
    </row>
    <row r="405" spans="1:14" hidden="1" x14ac:dyDescent="0.35">
      <c r="A405" s="2">
        <v>6176628</v>
      </c>
      <c r="B405" s="2">
        <v>74784</v>
      </c>
      <c r="C405" s="2" t="s">
        <v>426</v>
      </c>
      <c r="D405" s="2" t="s">
        <v>15</v>
      </c>
      <c r="E405" s="3">
        <f>VLOOKUP('[1]New Data'!A403,'[1]New Data'!A:H,8,0)</f>
        <v>19</v>
      </c>
      <c r="F405" s="3" t="str">
        <f>VLOOKUP('[1]New Data'!A403,'[1]New Data'!A:J,10,0)</f>
        <v>Male</v>
      </c>
      <c r="G405" s="3" t="str">
        <f>VLOOKUP('[1]New Data'!A403,'[1]New Data'!A:K,11,0)</f>
        <v>Medium</v>
      </c>
      <c r="H405" s="4">
        <f>VLOOKUP('[1]New Data'!A403,'[1]New Data'!A:M,13,0)</f>
        <v>45027</v>
      </c>
      <c r="I405" s="5">
        <f>VLOOKUP('[1]New Data'!A403,'[1]New Data'!A:O,15,0)</f>
        <v>5</v>
      </c>
      <c r="J405" s="3">
        <f>VLOOKUP('[1]New Data'!A403,'[1]New Data'!A:P,16,0)</f>
        <v>62.318516099999997</v>
      </c>
      <c r="K405" s="3">
        <f>VLOOKUP('[1]New Data'!A403,'[1]New Data'!A:Q,17,0)</f>
        <v>311.5925805</v>
      </c>
      <c r="L405" s="3" t="str">
        <f>VLOOKUP('[1]New Data'!A405,'[1]New Data'!A:S,19,0)</f>
        <v>Books</v>
      </c>
      <c r="M405" s="3" t="str">
        <f>VLOOKUP('[1]New Data'!A405,'[1]New Data'!A:T,20,0)</f>
        <v>Non-Fiction</v>
      </c>
      <c r="N405" s="5">
        <f>VLOOKUP('[1]New Data'!A403,'[1]New Data'!A:Z,25,0)</f>
        <v>5</v>
      </c>
    </row>
    <row r="406" spans="1:14" x14ac:dyDescent="0.35">
      <c r="A406" s="2">
        <v>6135513</v>
      </c>
      <c r="B406" s="2">
        <v>83016</v>
      </c>
      <c r="C406" s="2" t="s">
        <v>427</v>
      </c>
      <c r="D406" s="2" t="s">
        <v>15</v>
      </c>
      <c r="E406" s="3">
        <f>VLOOKUP('[1]New Data'!A132,'[1]New Data'!A:H,8,0)</f>
        <v>32</v>
      </c>
      <c r="F406" s="3" t="str">
        <f>VLOOKUP('[1]New Data'!A132,'[1]New Data'!A:J,10,0)</f>
        <v>Female</v>
      </c>
      <c r="G406" s="3" t="str">
        <f>VLOOKUP('[1]New Data'!A132,'[1]New Data'!A:K,11,0)</f>
        <v>Low</v>
      </c>
      <c r="H406" s="4">
        <f>VLOOKUP('[1]New Data'!A132,'[1]New Data'!A:M,13,0)</f>
        <v>45279</v>
      </c>
      <c r="I406" s="5">
        <f>VLOOKUP('[1]New Data'!A132,'[1]New Data'!A:O,15,0)</f>
        <v>5</v>
      </c>
      <c r="J406" s="3">
        <f>VLOOKUP('[1]New Data'!A132,'[1]New Data'!A:P,16,0)</f>
        <v>62.163534200000001</v>
      </c>
      <c r="K406" s="3">
        <f>VLOOKUP('[1]New Data'!A132,'[1]New Data'!A:Q,17,0)</f>
        <v>310.81767100000002</v>
      </c>
      <c r="L406" s="3" t="str">
        <f>VLOOKUP('[1]New Data'!A406,'[1]New Data'!A:S,19,0)</f>
        <v>Home Decor</v>
      </c>
      <c r="M406" s="3" t="str">
        <f>VLOOKUP('[1]New Data'!A406,'[1]New Data'!A:T,20,0)</f>
        <v>Decorations</v>
      </c>
      <c r="N406" s="5">
        <f>VLOOKUP('[1]New Data'!A132,'[1]New Data'!A:Z,25,0)</f>
        <v>2</v>
      </c>
    </row>
    <row r="407" spans="1:14" hidden="1" x14ac:dyDescent="0.35">
      <c r="A407" s="2">
        <v>5992046</v>
      </c>
      <c r="B407" s="2">
        <v>30637</v>
      </c>
      <c r="C407" s="2" t="s">
        <v>428</v>
      </c>
      <c r="D407" s="2" t="s">
        <v>15</v>
      </c>
      <c r="E407" s="3">
        <f>VLOOKUP('[1]New Data'!A40,'[1]New Data'!A:H,8,0)</f>
        <v>34</v>
      </c>
      <c r="F407" s="3" t="str">
        <f>VLOOKUP('[1]New Data'!A40,'[1]New Data'!A:J,10,0)</f>
        <v>Female</v>
      </c>
      <c r="G407" s="3" t="str">
        <f>VLOOKUP('[1]New Data'!A40,'[1]New Data'!A:K,11,0)</f>
        <v>High</v>
      </c>
      <c r="H407" s="4">
        <f>VLOOKUP('[1]New Data'!A40,'[1]New Data'!A:M,13,0)</f>
        <v>45330</v>
      </c>
      <c r="I407" s="5">
        <f>VLOOKUP('[1]New Data'!A40,'[1]New Data'!A:O,15,0)</f>
        <v>7</v>
      </c>
      <c r="J407" s="3">
        <f>VLOOKUP('[1]New Data'!A40,'[1]New Data'!A:P,16,0)</f>
        <v>44.33018431</v>
      </c>
      <c r="K407" s="3">
        <f>VLOOKUP('[1]New Data'!A40,'[1]New Data'!A:Q,17,0)</f>
        <v>310.31129019999997</v>
      </c>
      <c r="L407" s="3" t="str">
        <f>VLOOKUP('[1]New Data'!A407,'[1]New Data'!A:S,19,0)</f>
        <v>Books</v>
      </c>
      <c r="M407" s="3" t="str">
        <f>VLOOKUP('[1]New Data'!A407,'[1]New Data'!A:T,20,0)</f>
        <v>Thriller</v>
      </c>
      <c r="N407" s="5">
        <f>VLOOKUP('[1]New Data'!A40,'[1]New Data'!A:Z,25,0)</f>
        <v>4</v>
      </c>
    </row>
    <row r="408" spans="1:14" hidden="1" x14ac:dyDescent="0.35">
      <c r="A408" s="2">
        <v>1295338</v>
      </c>
      <c r="B408" s="2">
        <v>94652</v>
      </c>
      <c r="C408" s="2" t="s">
        <v>429</v>
      </c>
      <c r="D408" s="2" t="s">
        <v>15</v>
      </c>
      <c r="E408" s="3">
        <f>VLOOKUP('[1]New Data'!A102,'[1]New Data'!A:H,8,0)</f>
        <v>19</v>
      </c>
      <c r="F408" s="3" t="str">
        <f>VLOOKUP('[1]New Data'!A102,'[1]New Data'!A:J,10,0)</f>
        <v>Male</v>
      </c>
      <c r="G408" s="3" t="str">
        <f>VLOOKUP('[1]New Data'!A102,'[1]New Data'!A:K,11,0)</f>
        <v>Medium</v>
      </c>
      <c r="H408" s="4">
        <f>VLOOKUP('[1]New Data'!A102,'[1]New Data'!A:M,13,0)</f>
        <v>45277</v>
      </c>
      <c r="I408" s="5">
        <f>VLOOKUP('[1]New Data'!A102,'[1]New Data'!A:O,15,0)</f>
        <v>2</v>
      </c>
      <c r="J408" s="3">
        <f>VLOOKUP('[1]New Data'!A102,'[1]New Data'!A:P,16,0)</f>
        <v>152.57366579999999</v>
      </c>
      <c r="K408" s="3">
        <f>VLOOKUP('[1]New Data'!A102,'[1]New Data'!A:Q,17,0)</f>
        <v>305.14733150000001</v>
      </c>
      <c r="L408" s="3" t="str">
        <f>VLOOKUP('[1]New Data'!A408,'[1]New Data'!A:S,19,0)</f>
        <v>Books</v>
      </c>
      <c r="M408" s="3" t="str">
        <f>VLOOKUP('[1]New Data'!A408,'[1]New Data'!A:T,20,0)</f>
        <v>Non-Fiction</v>
      </c>
      <c r="N408" s="5">
        <f>VLOOKUP('[1]New Data'!A102,'[1]New Data'!A:Z,25,0)</f>
        <v>5</v>
      </c>
    </row>
    <row r="409" spans="1:14" x14ac:dyDescent="0.35">
      <c r="A409" s="2">
        <v>2981505</v>
      </c>
      <c r="B409" s="2">
        <v>82037</v>
      </c>
      <c r="C409" s="2" t="s">
        <v>430</v>
      </c>
      <c r="D409" s="2" t="s">
        <v>15</v>
      </c>
      <c r="E409" s="3">
        <f>VLOOKUP('[1]New Data'!A193,'[1]New Data'!A:H,8,0)</f>
        <v>51</v>
      </c>
      <c r="F409" s="3" t="str">
        <f>VLOOKUP('[1]New Data'!A193,'[1]New Data'!A:J,10,0)</f>
        <v>Male</v>
      </c>
      <c r="G409" s="3" t="str">
        <f>VLOOKUP('[1]New Data'!A193,'[1]New Data'!A:K,11,0)</f>
        <v>Low</v>
      </c>
      <c r="H409" s="4">
        <f>VLOOKUP('[1]New Data'!A193,'[1]New Data'!A:M,13,0)</f>
        <v>45256</v>
      </c>
      <c r="I409" s="5">
        <f>VLOOKUP('[1]New Data'!A193,'[1]New Data'!A:O,15,0)</f>
        <v>1</v>
      </c>
      <c r="J409" s="3">
        <f>VLOOKUP('[1]New Data'!A193,'[1]New Data'!A:P,16,0)</f>
        <v>302.87176570000003</v>
      </c>
      <c r="K409" s="3">
        <f>VLOOKUP('[1]New Data'!A193,'[1]New Data'!A:Q,17,0)</f>
        <v>302.87176570000003</v>
      </c>
      <c r="L409" s="3" t="str">
        <f>VLOOKUP('[1]New Data'!A409,'[1]New Data'!A:S,19,0)</f>
        <v>Home Decor</v>
      </c>
      <c r="M409" s="3" t="str">
        <f>VLOOKUP('[1]New Data'!A409,'[1]New Data'!A:T,20,0)</f>
        <v>Lighting</v>
      </c>
      <c r="N409" s="5">
        <f>VLOOKUP('[1]New Data'!A193,'[1]New Data'!A:Z,25,0)</f>
        <v>1</v>
      </c>
    </row>
    <row r="410" spans="1:14" x14ac:dyDescent="0.35">
      <c r="A410" s="2">
        <v>3752112</v>
      </c>
      <c r="B410" s="2">
        <v>28830</v>
      </c>
      <c r="C410" s="2" t="s">
        <v>431</v>
      </c>
      <c r="D410" s="2" t="s">
        <v>15</v>
      </c>
      <c r="E410" s="3">
        <f>VLOOKUP('[1]New Data'!A364,'[1]New Data'!A:H,8,0)</f>
        <v>34</v>
      </c>
      <c r="F410" s="3" t="str">
        <f>VLOOKUP('[1]New Data'!A364,'[1]New Data'!A:J,10,0)</f>
        <v>Male</v>
      </c>
      <c r="G410" s="3" t="str">
        <f>VLOOKUP('[1]New Data'!A364,'[1]New Data'!A:K,11,0)</f>
        <v>Medium</v>
      </c>
      <c r="H410" s="4">
        <f>VLOOKUP('[1]New Data'!A364,'[1]New Data'!A:M,13,0)</f>
        <v>45264</v>
      </c>
      <c r="I410" s="5">
        <f>VLOOKUP('[1]New Data'!A364,'[1]New Data'!A:O,15,0)</f>
        <v>1</v>
      </c>
      <c r="J410" s="3">
        <f>VLOOKUP('[1]New Data'!A364,'[1]New Data'!A:P,16,0)</f>
        <v>297.07786929999997</v>
      </c>
      <c r="K410" s="3">
        <f>VLOOKUP('[1]New Data'!A364,'[1]New Data'!A:Q,17,0)</f>
        <v>297.07786929999997</v>
      </c>
      <c r="L410" s="3" t="str">
        <f>VLOOKUP('[1]New Data'!A410,'[1]New Data'!A:S,19,0)</f>
        <v>Home Decor</v>
      </c>
      <c r="M410" s="3" t="str">
        <f>VLOOKUP('[1]New Data'!A410,'[1]New Data'!A:T,20,0)</f>
        <v>Decorations</v>
      </c>
      <c r="N410" s="5">
        <f>VLOOKUP('[1]New Data'!A364,'[1]New Data'!A:Z,25,0)</f>
        <v>4</v>
      </c>
    </row>
    <row r="411" spans="1:14" hidden="1" x14ac:dyDescent="0.35">
      <c r="A411" s="2">
        <v>6408692</v>
      </c>
      <c r="B411" s="2">
        <v>90935</v>
      </c>
      <c r="C411" s="2" t="s">
        <v>432</v>
      </c>
      <c r="D411" s="2" t="s">
        <v>15</v>
      </c>
      <c r="E411" s="3">
        <f>VLOOKUP('[1]New Data'!A33,'[1]New Data'!A:H,8,0)</f>
        <v>56</v>
      </c>
      <c r="F411" s="3" t="str">
        <f>VLOOKUP('[1]New Data'!A33,'[1]New Data'!A:J,10,0)</f>
        <v>Female</v>
      </c>
      <c r="G411" s="3" t="str">
        <f>VLOOKUP('[1]New Data'!A33,'[1]New Data'!A:K,11,0)</f>
        <v>Low</v>
      </c>
      <c r="H411" s="4">
        <f>VLOOKUP('[1]New Data'!A33,'[1]New Data'!A:M,13,0)</f>
        <v>45256</v>
      </c>
      <c r="I411" s="5">
        <f>VLOOKUP('[1]New Data'!A33,'[1]New Data'!A:O,15,0)</f>
        <v>2</v>
      </c>
      <c r="J411" s="3">
        <f>VLOOKUP('[1]New Data'!A33,'[1]New Data'!A:P,16,0)</f>
        <v>147.09823410000001</v>
      </c>
      <c r="K411" s="3">
        <f>VLOOKUP('[1]New Data'!A33,'[1]New Data'!A:Q,17,0)</f>
        <v>294.19646829999999</v>
      </c>
      <c r="L411" s="3" t="str">
        <f>VLOOKUP('[1]New Data'!A411,'[1]New Data'!A:S,19,0)</f>
        <v>Grocery</v>
      </c>
      <c r="M411" s="3" t="str">
        <f>VLOOKUP('[1]New Data'!A411,'[1]New Data'!A:T,20,0)</f>
        <v>Coffee</v>
      </c>
      <c r="N411" s="5">
        <f>VLOOKUP('[1]New Data'!A33,'[1]New Data'!A:Z,25,0)</f>
        <v>3</v>
      </c>
    </row>
    <row r="412" spans="1:14" x14ac:dyDescent="0.35">
      <c r="A412" s="2">
        <v>6387070</v>
      </c>
      <c r="B412" s="2">
        <v>93214</v>
      </c>
      <c r="C412" s="2" t="s">
        <v>433</v>
      </c>
      <c r="D412" s="2" t="s">
        <v>15</v>
      </c>
      <c r="E412" s="3">
        <f>VLOOKUP('[1]New Data'!A382,'[1]New Data'!A:H,8,0)</f>
        <v>66</v>
      </c>
      <c r="F412" s="3" t="str">
        <f>VLOOKUP('[1]New Data'!A382,'[1]New Data'!A:J,10,0)</f>
        <v>Male</v>
      </c>
      <c r="G412" s="3" t="str">
        <f>VLOOKUP('[1]New Data'!A382,'[1]New Data'!A:K,11,0)</f>
        <v>Medium</v>
      </c>
      <c r="H412" s="4">
        <f>VLOOKUP('[1]New Data'!A382,'[1]New Data'!A:M,13,0)</f>
        <v>45170</v>
      </c>
      <c r="I412" s="5">
        <f>VLOOKUP('[1]New Data'!A382,'[1]New Data'!A:O,15,0)</f>
        <v>1</v>
      </c>
      <c r="J412" s="3">
        <f>VLOOKUP('[1]New Data'!A382,'[1]New Data'!A:P,16,0)</f>
        <v>292.24568909999999</v>
      </c>
      <c r="K412" s="3">
        <f>VLOOKUP('[1]New Data'!A382,'[1]New Data'!A:Q,17,0)</f>
        <v>292.24568909999999</v>
      </c>
      <c r="L412" s="3" t="str">
        <f>VLOOKUP('[1]New Data'!A412,'[1]New Data'!A:S,19,0)</f>
        <v>Home Decor</v>
      </c>
      <c r="M412" s="3" t="str">
        <f>VLOOKUP('[1]New Data'!A412,'[1]New Data'!A:T,20,0)</f>
        <v>Decorations</v>
      </c>
      <c r="N412" s="5">
        <f>VLOOKUP('[1]New Data'!A382,'[1]New Data'!A:Z,25,0)</f>
        <v>2</v>
      </c>
    </row>
    <row r="413" spans="1:14" x14ac:dyDescent="0.35">
      <c r="A413" s="2">
        <v>9846574</v>
      </c>
      <c r="B413" s="2">
        <v>30224</v>
      </c>
      <c r="C413" s="2" t="s">
        <v>434</v>
      </c>
      <c r="D413" s="2" t="s">
        <v>15</v>
      </c>
      <c r="E413" s="3">
        <f>VLOOKUP('[1]New Data'!A336,'[1]New Data'!A:H,8,0)</f>
        <v>43</v>
      </c>
      <c r="F413" s="3" t="str">
        <f>VLOOKUP('[1]New Data'!A336,'[1]New Data'!A:J,10,0)</f>
        <v>Female</v>
      </c>
      <c r="G413" s="3" t="str">
        <f>VLOOKUP('[1]New Data'!A336,'[1]New Data'!A:K,11,0)</f>
        <v>Low</v>
      </c>
      <c r="H413" s="4">
        <f>VLOOKUP('[1]New Data'!A336,'[1]New Data'!A:M,13,0)</f>
        <v>45253</v>
      </c>
      <c r="I413" s="5">
        <f>VLOOKUP('[1]New Data'!A336,'[1]New Data'!A:O,15,0)</f>
        <v>2</v>
      </c>
      <c r="J413" s="3">
        <f>VLOOKUP('[1]New Data'!A336,'[1]New Data'!A:P,16,0)</f>
        <v>143.62217889999999</v>
      </c>
      <c r="K413" s="3">
        <f>VLOOKUP('[1]New Data'!A336,'[1]New Data'!A:Q,17,0)</f>
        <v>287.24435779999999</v>
      </c>
      <c r="L413" s="3" t="str">
        <f>VLOOKUP('[1]New Data'!A413,'[1]New Data'!A:S,19,0)</f>
        <v>Home Decor</v>
      </c>
      <c r="M413" s="3" t="str">
        <f>VLOOKUP('[1]New Data'!A413,'[1]New Data'!A:T,20,0)</f>
        <v>Furniture</v>
      </c>
      <c r="N413" s="5">
        <f>VLOOKUP('[1]New Data'!A336,'[1]New Data'!A:Z,25,0)</f>
        <v>4</v>
      </c>
    </row>
    <row r="414" spans="1:14" hidden="1" x14ac:dyDescent="0.35">
      <c r="A414" s="2">
        <v>1464706</v>
      </c>
      <c r="B414" s="2">
        <v>78184</v>
      </c>
      <c r="C414" s="2" t="s">
        <v>435</v>
      </c>
      <c r="D414" s="2" t="s">
        <v>15</v>
      </c>
      <c r="E414" s="3">
        <f>VLOOKUP('[1]New Data'!A222,'[1]New Data'!A:H,8,0)</f>
        <v>28</v>
      </c>
      <c r="F414" s="3" t="str">
        <f>VLOOKUP('[1]New Data'!A222,'[1]New Data'!A:J,10,0)</f>
        <v>Female</v>
      </c>
      <c r="G414" s="3" t="str">
        <f>VLOOKUP('[1]New Data'!A222,'[1]New Data'!A:K,11,0)</f>
        <v>Medium</v>
      </c>
      <c r="H414" s="4">
        <f>VLOOKUP('[1]New Data'!A222,'[1]New Data'!A:M,13,0)</f>
        <v>45143</v>
      </c>
      <c r="I414" s="5">
        <f>VLOOKUP('[1]New Data'!A222,'[1]New Data'!A:O,15,0)</f>
        <v>10</v>
      </c>
      <c r="J414" s="3">
        <f>VLOOKUP('[1]New Data'!A222,'[1]New Data'!A:P,16,0)</f>
        <v>28.559723609999999</v>
      </c>
      <c r="K414" s="3">
        <f>VLOOKUP('[1]New Data'!A222,'[1]New Data'!A:Q,17,0)</f>
        <v>285.59723609999998</v>
      </c>
      <c r="L414" s="3" t="str">
        <f>VLOOKUP('[1]New Data'!A414,'[1]New Data'!A:S,19,0)</f>
        <v>Grocery</v>
      </c>
      <c r="M414" s="3" t="str">
        <f>VLOOKUP('[1]New Data'!A414,'[1]New Data'!A:T,20,0)</f>
        <v>Water</v>
      </c>
      <c r="N414" s="5">
        <f>VLOOKUP('[1]New Data'!A222,'[1]New Data'!A:Z,25,0)</f>
        <v>1</v>
      </c>
    </row>
    <row r="415" spans="1:14" hidden="1" x14ac:dyDescent="0.35">
      <c r="A415" s="2">
        <v>9885863</v>
      </c>
      <c r="B415" s="2">
        <v>46361</v>
      </c>
      <c r="C415" s="2" t="s">
        <v>436</v>
      </c>
      <c r="D415" s="2" t="s">
        <v>15</v>
      </c>
      <c r="E415" s="3">
        <f>VLOOKUP('[1]New Data'!A45,'[1]New Data'!A:H,8,0)</f>
        <v>46</v>
      </c>
      <c r="F415" s="3" t="str">
        <f>VLOOKUP('[1]New Data'!A45,'[1]New Data'!A:J,10,0)</f>
        <v>Male</v>
      </c>
      <c r="G415" s="3" t="str">
        <f>VLOOKUP('[1]New Data'!A45,'[1]New Data'!A:K,11,0)</f>
        <v>High</v>
      </c>
      <c r="H415" s="4">
        <f>VLOOKUP('[1]New Data'!A45,'[1]New Data'!A:M,13,0)</f>
        <v>45235</v>
      </c>
      <c r="I415" s="5">
        <f>VLOOKUP('[1]New Data'!A45,'[1]New Data'!A:O,15,0)</f>
        <v>2</v>
      </c>
      <c r="J415" s="3">
        <f>VLOOKUP('[1]New Data'!A45,'[1]New Data'!A:P,16,0)</f>
        <v>141.21436550000001</v>
      </c>
      <c r="K415" s="3">
        <f>VLOOKUP('[1]New Data'!A45,'[1]New Data'!A:Q,17,0)</f>
        <v>282.42873090000001</v>
      </c>
      <c r="L415" s="3" t="str">
        <f>VLOOKUP('[1]New Data'!A415,'[1]New Data'!A:S,19,0)</f>
        <v>Books</v>
      </c>
      <c r="M415" s="3" t="str">
        <f>VLOOKUP('[1]New Data'!A415,'[1]New Data'!A:T,20,0)</f>
        <v>Non-Fiction</v>
      </c>
      <c r="N415" s="5">
        <f>VLOOKUP('[1]New Data'!A45,'[1]New Data'!A:Z,25,0)</f>
        <v>5</v>
      </c>
    </row>
    <row r="416" spans="1:14" hidden="1" x14ac:dyDescent="0.35">
      <c r="A416" s="2">
        <v>9193737</v>
      </c>
      <c r="B416" s="2">
        <v>45455</v>
      </c>
      <c r="C416" s="2" t="s">
        <v>437</v>
      </c>
      <c r="D416" s="2" t="s">
        <v>15</v>
      </c>
      <c r="E416" s="3">
        <f>VLOOKUP('[1]New Data'!A108,'[1]New Data'!A:H,8,0)</f>
        <v>35</v>
      </c>
      <c r="F416" s="3" t="str">
        <f>VLOOKUP('[1]New Data'!A108,'[1]New Data'!A:J,10,0)</f>
        <v>Female</v>
      </c>
      <c r="G416" s="3" t="str">
        <f>VLOOKUP('[1]New Data'!A108,'[1]New Data'!A:K,11,0)</f>
        <v>Low</v>
      </c>
      <c r="H416" s="4">
        <f>VLOOKUP('[1]New Data'!A108,'[1]New Data'!A:M,13,0)</f>
        <v>45132</v>
      </c>
      <c r="I416" s="5">
        <f>VLOOKUP('[1]New Data'!A108,'[1]New Data'!A:O,15,0)</f>
        <v>1</v>
      </c>
      <c r="J416" s="3">
        <f>VLOOKUP('[1]New Data'!A108,'[1]New Data'!A:P,16,0)</f>
        <v>275.72022070000003</v>
      </c>
      <c r="K416" s="3">
        <f>VLOOKUP('[1]New Data'!A108,'[1]New Data'!A:Q,17,0)</f>
        <v>275.72022070000003</v>
      </c>
      <c r="L416" s="3" t="str">
        <f>VLOOKUP('[1]New Data'!A416,'[1]New Data'!A:S,19,0)</f>
        <v>Clothing</v>
      </c>
      <c r="M416" s="3" t="str">
        <f>VLOOKUP('[1]New Data'!A416,'[1]New Data'!A:T,20,0)</f>
        <v>Shoes</v>
      </c>
      <c r="N416" s="5">
        <f>VLOOKUP('[1]New Data'!A108,'[1]New Data'!A:Z,25,0)</f>
        <v>2</v>
      </c>
    </row>
    <row r="417" spans="1:14" hidden="1" x14ac:dyDescent="0.35">
      <c r="A417" s="2">
        <v>4207259</v>
      </c>
      <c r="B417" s="2">
        <v>16846</v>
      </c>
      <c r="C417" s="2" t="s">
        <v>438</v>
      </c>
      <c r="D417" s="2" t="s">
        <v>15</v>
      </c>
      <c r="E417" s="3">
        <f>VLOOKUP('[1]New Data'!A230,'[1]New Data'!A:H,8,0)</f>
        <v>23</v>
      </c>
      <c r="F417" s="3" t="str">
        <f>VLOOKUP('[1]New Data'!A230,'[1]New Data'!A:J,10,0)</f>
        <v>Male</v>
      </c>
      <c r="G417" s="3" t="str">
        <f>VLOOKUP('[1]New Data'!A230,'[1]New Data'!A:K,11,0)</f>
        <v>Medium</v>
      </c>
      <c r="H417" s="4">
        <f>VLOOKUP('[1]New Data'!A230,'[1]New Data'!A:M,13,0)</f>
        <v>45167</v>
      </c>
      <c r="I417" s="5">
        <f>VLOOKUP('[1]New Data'!A230,'[1]New Data'!A:O,15,0)</f>
        <v>3</v>
      </c>
      <c r="J417" s="3">
        <f>VLOOKUP('[1]New Data'!A230,'[1]New Data'!A:P,16,0)</f>
        <v>89.236389250000002</v>
      </c>
      <c r="K417" s="3">
        <f>VLOOKUP('[1]New Data'!A230,'[1]New Data'!A:Q,17,0)</f>
        <v>267.70916779999999</v>
      </c>
      <c r="L417" s="3" t="str">
        <f>VLOOKUP('[1]New Data'!A417,'[1]New Data'!A:S,19,0)</f>
        <v>Books</v>
      </c>
      <c r="M417" s="3" t="str">
        <f>VLOOKUP('[1]New Data'!A417,'[1]New Data'!A:T,20,0)</f>
        <v>Fiction</v>
      </c>
      <c r="N417" s="5">
        <f>VLOOKUP('[1]New Data'!A230,'[1]New Data'!A:Z,25,0)</f>
        <v>2</v>
      </c>
    </row>
    <row r="418" spans="1:14" x14ac:dyDescent="0.35">
      <c r="A418" s="2">
        <v>7491247</v>
      </c>
      <c r="B418" s="2">
        <v>12884</v>
      </c>
      <c r="C418" s="2" t="s">
        <v>439</v>
      </c>
      <c r="D418" s="2" t="s">
        <v>15</v>
      </c>
      <c r="E418" s="3">
        <f>VLOOKUP('[1]New Data'!A181,'[1]New Data'!A:H,8,0)</f>
        <v>40</v>
      </c>
      <c r="F418" s="3" t="str">
        <f>VLOOKUP('[1]New Data'!A181,'[1]New Data'!A:J,10,0)</f>
        <v>Male</v>
      </c>
      <c r="G418" s="3" t="str">
        <f>VLOOKUP('[1]New Data'!A181,'[1]New Data'!A:K,11,0)</f>
        <v>High</v>
      </c>
      <c r="H418" s="4">
        <f>VLOOKUP('[1]New Data'!A181,'[1]New Data'!A:M,13,0)</f>
        <v>45052</v>
      </c>
      <c r="I418" s="5">
        <f>VLOOKUP('[1]New Data'!A181,'[1]New Data'!A:O,15,0)</f>
        <v>1</v>
      </c>
      <c r="J418" s="3">
        <f>VLOOKUP('[1]New Data'!A181,'[1]New Data'!A:P,16,0)</f>
        <v>265.66431920000002</v>
      </c>
      <c r="K418" s="3">
        <f>VLOOKUP('[1]New Data'!A181,'[1]New Data'!A:Q,17,0)</f>
        <v>265.66431920000002</v>
      </c>
      <c r="L418" s="3" t="str">
        <f>VLOOKUP('[1]New Data'!A418,'[1]New Data'!A:S,19,0)</f>
        <v>Home Decor</v>
      </c>
      <c r="M418" s="3" t="str">
        <f>VLOOKUP('[1]New Data'!A418,'[1]New Data'!A:T,20,0)</f>
        <v>Bathroom</v>
      </c>
      <c r="N418" s="5">
        <f>VLOOKUP('[1]New Data'!A181,'[1]New Data'!A:Z,25,0)</f>
        <v>5</v>
      </c>
    </row>
    <row r="419" spans="1:14" hidden="1" x14ac:dyDescent="0.35">
      <c r="A419" s="2">
        <v>1625398</v>
      </c>
      <c r="B419" s="2">
        <v>76133</v>
      </c>
      <c r="C419" s="2" t="s">
        <v>440</v>
      </c>
      <c r="D419" s="2" t="s">
        <v>15</v>
      </c>
      <c r="E419" s="3">
        <f>VLOOKUP('[1]New Data'!A260,'[1]New Data'!A:H,8,0)</f>
        <v>21</v>
      </c>
      <c r="F419" s="3" t="str">
        <f>VLOOKUP('[1]New Data'!A260,'[1]New Data'!A:J,10,0)</f>
        <v>Female</v>
      </c>
      <c r="G419" s="3" t="str">
        <f>VLOOKUP('[1]New Data'!A260,'[1]New Data'!A:K,11,0)</f>
        <v>Medium</v>
      </c>
      <c r="H419" s="4">
        <f>VLOOKUP('[1]New Data'!A260,'[1]New Data'!A:M,13,0)</f>
        <v>45349</v>
      </c>
      <c r="I419" s="5">
        <f>VLOOKUP('[1]New Data'!A260,'[1]New Data'!A:O,15,0)</f>
        <v>7</v>
      </c>
      <c r="J419" s="3">
        <f>VLOOKUP('[1]New Data'!A260,'[1]New Data'!A:P,16,0)</f>
        <v>37.716064809999999</v>
      </c>
      <c r="K419" s="3">
        <f>VLOOKUP('[1]New Data'!A260,'[1]New Data'!A:Q,17,0)</f>
        <v>264.01245369999998</v>
      </c>
      <c r="L419" s="3" t="str">
        <f>VLOOKUP('[1]New Data'!A419,'[1]New Data'!A:S,19,0)</f>
        <v>Clothing</v>
      </c>
      <c r="M419" s="3" t="str">
        <f>VLOOKUP('[1]New Data'!A419,'[1]New Data'!A:T,20,0)</f>
        <v>T-shirt</v>
      </c>
      <c r="N419" s="5">
        <f>VLOOKUP('[1]New Data'!A260,'[1]New Data'!A:Z,25,0)</f>
        <v>2</v>
      </c>
    </row>
    <row r="420" spans="1:14" hidden="1" x14ac:dyDescent="0.35">
      <c r="A420" s="2">
        <v>6199408</v>
      </c>
      <c r="B420" s="2">
        <v>41508</v>
      </c>
      <c r="C420" s="2" t="s">
        <v>441</v>
      </c>
      <c r="D420" s="2" t="s">
        <v>15</v>
      </c>
      <c r="E420" s="3">
        <f>VLOOKUP('[1]New Data'!A356,'[1]New Data'!A:H,8,0)</f>
        <v>37</v>
      </c>
      <c r="F420" s="3" t="str">
        <f>VLOOKUP('[1]New Data'!A356,'[1]New Data'!A:J,10,0)</f>
        <v>Male</v>
      </c>
      <c r="G420" s="3" t="str">
        <f>VLOOKUP('[1]New Data'!A356,'[1]New Data'!A:K,11,0)</f>
        <v>Medium</v>
      </c>
      <c r="H420" s="4">
        <f>VLOOKUP('[1]New Data'!A356,'[1]New Data'!A:M,13,0)</f>
        <v>45294</v>
      </c>
      <c r="I420" s="5">
        <f>VLOOKUP('[1]New Data'!A356,'[1]New Data'!A:O,15,0)</f>
        <v>2</v>
      </c>
      <c r="J420" s="3">
        <f>VLOOKUP('[1]New Data'!A356,'[1]New Data'!A:P,16,0)</f>
        <v>131.20250659999999</v>
      </c>
      <c r="K420" s="3">
        <f>VLOOKUP('[1]New Data'!A356,'[1]New Data'!A:Q,17,0)</f>
        <v>262.40501319999998</v>
      </c>
      <c r="L420" s="3" t="str">
        <f>VLOOKUP('[1]New Data'!A420,'[1]New Data'!A:S,19,0)</f>
        <v>Grocery</v>
      </c>
      <c r="M420" s="3" t="str">
        <f>VLOOKUP('[1]New Data'!A420,'[1]New Data'!A:T,20,0)</f>
        <v>Chocolate</v>
      </c>
      <c r="N420" s="5">
        <f>VLOOKUP('[1]New Data'!A356,'[1]New Data'!A:Z,25,0)</f>
        <v>5</v>
      </c>
    </row>
    <row r="421" spans="1:14" x14ac:dyDescent="0.35">
      <c r="A421" s="2">
        <v>7988107</v>
      </c>
      <c r="B421" s="2">
        <v>82671</v>
      </c>
      <c r="C421" s="2" t="s">
        <v>442</v>
      </c>
      <c r="D421" s="2" t="s">
        <v>15</v>
      </c>
      <c r="E421" s="3">
        <f>VLOOKUP('[1]New Data'!A316,'[1]New Data'!A:H,8,0)</f>
        <v>50</v>
      </c>
      <c r="F421" s="3" t="str">
        <f>VLOOKUP('[1]New Data'!A316,'[1]New Data'!A:J,10,0)</f>
        <v>Male</v>
      </c>
      <c r="G421" s="3" t="str">
        <f>VLOOKUP('[1]New Data'!A316,'[1]New Data'!A:K,11,0)</f>
        <v>Medium</v>
      </c>
      <c r="H421" s="4">
        <f>VLOOKUP('[1]New Data'!A316,'[1]New Data'!A:M,13,0)</f>
        <v>45328</v>
      </c>
      <c r="I421" s="5">
        <f>VLOOKUP('[1]New Data'!A316,'[1]New Data'!A:O,15,0)</f>
        <v>9</v>
      </c>
      <c r="J421" s="3">
        <f>VLOOKUP('[1]New Data'!A316,'[1]New Data'!A:P,16,0)</f>
        <v>28.929106390000001</v>
      </c>
      <c r="K421" s="3">
        <f>VLOOKUP('[1]New Data'!A316,'[1]New Data'!A:Q,17,0)</f>
        <v>260.36195750000002</v>
      </c>
      <c r="L421" s="3" t="str">
        <f>VLOOKUP('[1]New Data'!A421,'[1]New Data'!A:S,19,0)</f>
        <v>Home Decor</v>
      </c>
      <c r="M421" s="3" t="str">
        <f>VLOOKUP('[1]New Data'!A421,'[1]New Data'!A:T,20,0)</f>
        <v>Furniture</v>
      </c>
      <c r="N421" s="5">
        <f>VLOOKUP('[1]New Data'!A316,'[1]New Data'!A:Z,25,0)</f>
        <v>4</v>
      </c>
    </row>
    <row r="422" spans="1:14" hidden="1" x14ac:dyDescent="0.35">
      <c r="A422" s="2">
        <v>5471383</v>
      </c>
      <c r="B422" s="2">
        <v>52839</v>
      </c>
      <c r="C422" s="2" t="s">
        <v>443</v>
      </c>
      <c r="D422" s="2" t="s">
        <v>15</v>
      </c>
      <c r="E422" s="3">
        <f>VLOOKUP('[1]New Data'!A296,'[1]New Data'!A:H,8,0)</f>
        <v>46</v>
      </c>
      <c r="F422" s="3" t="str">
        <f>VLOOKUP('[1]New Data'!A296,'[1]New Data'!A:J,10,0)</f>
        <v>Male</v>
      </c>
      <c r="G422" s="3" t="str">
        <f>VLOOKUP('[1]New Data'!A296,'[1]New Data'!A:K,11,0)</f>
        <v>Low</v>
      </c>
      <c r="H422" s="4">
        <f>VLOOKUP('[1]New Data'!A296,'[1]New Data'!A:M,13,0)</f>
        <v>45087</v>
      </c>
      <c r="I422" s="5">
        <f>VLOOKUP('[1]New Data'!A296,'[1]New Data'!A:O,15,0)</f>
        <v>9</v>
      </c>
      <c r="J422" s="3">
        <f>VLOOKUP('[1]New Data'!A296,'[1]New Data'!A:P,16,0)</f>
        <v>28.56114123</v>
      </c>
      <c r="K422" s="3">
        <f>VLOOKUP('[1]New Data'!A296,'[1]New Data'!A:Q,17,0)</f>
        <v>257.05027109999997</v>
      </c>
      <c r="L422" s="3" t="str">
        <f>VLOOKUP('[1]New Data'!A422,'[1]New Data'!A:S,19,0)</f>
        <v>Grocery</v>
      </c>
      <c r="M422" s="3" t="str">
        <f>VLOOKUP('[1]New Data'!A422,'[1]New Data'!A:T,20,0)</f>
        <v>Coffee</v>
      </c>
      <c r="N422" s="5">
        <f>VLOOKUP('[1]New Data'!A296,'[1]New Data'!A:Z,25,0)</f>
        <v>3</v>
      </c>
    </row>
    <row r="423" spans="1:14" hidden="1" x14ac:dyDescent="0.35">
      <c r="A423" s="2">
        <v>4427458</v>
      </c>
      <c r="B423" s="2">
        <v>97683</v>
      </c>
      <c r="C423" s="2" t="s">
        <v>444</v>
      </c>
      <c r="D423" s="2" t="s">
        <v>15</v>
      </c>
      <c r="E423" s="3">
        <f>VLOOKUP('[1]New Data'!A64,'[1]New Data'!A:H,8,0)</f>
        <v>31</v>
      </c>
      <c r="F423" s="3" t="str">
        <f>VLOOKUP('[1]New Data'!A64,'[1]New Data'!A:J,10,0)</f>
        <v>Female</v>
      </c>
      <c r="G423" s="3" t="str">
        <f>VLOOKUP('[1]New Data'!A64,'[1]New Data'!A:K,11,0)</f>
        <v>Low</v>
      </c>
      <c r="H423" s="4">
        <f>VLOOKUP('[1]New Data'!A64,'[1]New Data'!A:M,13,0)</f>
        <v>45234</v>
      </c>
      <c r="I423" s="5">
        <f>VLOOKUP('[1]New Data'!A64,'[1]New Data'!A:O,15,0)</f>
        <v>3</v>
      </c>
      <c r="J423" s="3">
        <f>VLOOKUP('[1]New Data'!A64,'[1]New Data'!A:P,16,0)</f>
        <v>85.156932459999993</v>
      </c>
      <c r="K423" s="3">
        <f>VLOOKUP('[1]New Data'!A64,'[1]New Data'!A:Q,17,0)</f>
        <v>255.47079740000001</v>
      </c>
      <c r="L423" s="3" t="str">
        <f>VLOOKUP('[1]New Data'!A423,'[1]New Data'!A:S,19,0)</f>
        <v>Electronics</v>
      </c>
      <c r="M423" s="3" t="str">
        <f>VLOOKUP('[1]New Data'!A423,'[1]New Data'!A:T,20,0)</f>
        <v>Tablet</v>
      </c>
      <c r="N423" s="5">
        <f>VLOOKUP('[1]New Data'!A64,'[1]New Data'!A:Z,25,0)</f>
        <v>2</v>
      </c>
    </row>
    <row r="424" spans="1:14" hidden="1" x14ac:dyDescent="0.35">
      <c r="A424" s="2">
        <v>9661702</v>
      </c>
      <c r="B424" s="2">
        <v>11381</v>
      </c>
      <c r="C424" s="2" t="s">
        <v>445</v>
      </c>
      <c r="D424" s="2" t="s">
        <v>15</v>
      </c>
      <c r="E424" s="3">
        <f>VLOOKUP('[1]New Data'!A485,'[1]New Data'!A:H,8,0)</f>
        <v>40</v>
      </c>
      <c r="F424" s="3" t="str">
        <f>VLOOKUP('[1]New Data'!A485,'[1]New Data'!A:J,10,0)</f>
        <v>Male</v>
      </c>
      <c r="G424" s="3" t="str">
        <f>VLOOKUP('[1]New Data'!A485,'[1]New Data'!A:K,11,0)</f>
        <v>Medium</v>
      </c>
      <c r="H424" s="4">
        <f>VLOOKUP('[1]New Data'!A485,'[1]New Data'!A:M,13,0)</f>
        <v>45079</v>
      </c>
      <c r="I424" s="5">
        <f>VLOOKUP('[1]New Data'!A485,'[1]New Data'!A:O,15,0)</f>
        <v>2</v>
      </c>
      <c r="J424" s="3">
        <f>VLOOKUP('[1]New Data'!A485,'[1]New Data'!A:P,16,0)</f>
        <v>127.155022</v>
      </c>
      <c r="K424" s="3">
        <f>VLOOKUP('[1]New Data'!A485,'[1]New Data'!A:Q,17,0)</f>
        <v>254.3100441</v>
      </c>
      <c r="L424" s="3" t="str">
        <f>VLOOKUP('[1]New Data'!A424,'[1]New Data'!A:S,19,0)</f>
        <v>Books</v>
      </c>
      <c r="M424" s="3" t="str">
        <f>VLOOKUP('[1]New Data'!A424,'[1]New Data'!A:T,20,0)</f>
        <v>Non-Fiction</v>
      </c>
      <c r="N424" s="5">
        <f>VLOOKUP('[1]New Data'!A485,'[1]New Data'!A:Z,25,0)</f>
        <v>1</v>
      </c>
    </row>
    <row r="425" spans="1:14" x14ac:dyDescent="0.35">
      <c r="A425" s="2">
        <v>5050125</v>
      </c>
      <c r="B425" s="2">
        <v>14196</v>
      </c>
      <c r="C425" s="2" t="s">
        <v>446</v>
      </c>
      <c r="D425" s="2" t="s">
        <v>15</v>
      </c>
      <c r="E425" s="3">
        <f>VLOOKUP('[1]New Data'!A144,'[1]New Data'!A:H,8,0)</f>
        <v>37</v>
      </c>
      <c r="F425" s="3" t="str">
        <f>VLOOKUP('[1]New Data'!A144,'[1]New Data'!A:J,10,0)</f>
        <v>Male</v>
      </c>
      <c r="G425" s="3" t="str">
        <f>VLOOKUP('[1]New Data'!A144,'[1]New Data'!A:K,11,0)</f>
        <v>High</v>
      </c>
      <c r="H425" s="4">
        <f>VLOOKUP('[1]New Data'!A144,'[1]New Data'!A:M,13,0)</f>
        <v>45181</v>
      </c>
      <c r="I425" s="5">
        <f>VLOOKUP('[1]New Data'!A144,'[1]New Data'!A:O,15,0)</f>
        <v>1</v>
      </c>
      <c r="J425" s="3">
        <f>VLOOKUP('[1]New Data'!A144,'[1]New Data'!A:P,16,0)</f>
        <v>253.0541571</v>
      </c>
      <c r="K425" s="3">
        <f>VLOOKUP('[1]New Data'!A144,'[1]New Data'!A:Q,17,0)</f>
        <v>253.0541571</v>
      </c>
      <c r="L425" s="3" t="str">
        <f>VLOOKUP('[1]New Data'!A425,'[1]New Data'!A:S,19,0)</f>
        <v>Home Decor</v>
      </c>
      <c r="M425" s="3" t="str">
        <f>VLOOKUP('[1]New Data'!A425,'[1]New Data'!A:T,20,0)</f>
        <v>Decorations</v>
      </c>
      <c r="N425" s="5">
        <f>VLOOKUP('[1]New Data'!A144,'[1]New Data'!A:Z,25,0)</f>
        <v>2</v>
      </c>
    </row>
    <row r="426" spans="1:14" x14ac:dyDescent="0.35">
      <c r="A426" s="2">
        <v>5212805</v>
      </c>
      <c r="B426" s="2">
        <v>13082</v>
      </c>
      <c r="C426" s="2" t="s">
        <v>447</v>
      </c>
      <c r="D426" s="2" t="s">
        <v>15</v>
      </c>
      <c r="E426" s="3">
        <f>VLOOKUP('[1]New Data'!A268,'[1]New Data'!A:H,8,0)</f>
        <v>37</v>
      </c>
      <c r="F426" s="3" t="str">
        <f>VLOOKUP('[1]New Data'!A268,'[1]New Data'!A:J,10,0)</f>
        <v>Male</v>
      </c>
      <c r="G426" s="3" t="str">
        <f>VLOOKUP('[1]New Data'!A268,'[1]New Data'!A:K,11,0)</f>
        <v>High</v>
      </c>
      <c r="H426" s="4">
        <f>VLOOKUP('[1]New Data'!A268,'[1]New Data'!A:M,13,0)</f>
        <v>45337</v>
      </c>
      <c r="I426" s="5">
        <f>VLOOKUP('[1]New Data'!A268,'[1]New Data'!A:O,15,0)</f>
        <v>8</v>
      </c>
      <c r="J426" s="3">
        <f>VLOOKUP('[1]New Data'!A268,'[1]New Data'!A:P,16,0)</f>
        <v>31.565014959999999</v>
      </c>
      <c r="K426" s="3">
        <f>VLOOKUP('[1]New Data'!A268,'[1]New Data'!A:Q,17,0)</f>
        <v>252.52011959999999</v>
      </c>
      <c r="L426" s="3" t="str">
        <f>VLOOKUP('[1]New Data'!A426,'[1]New Data'!A:S,19,0)</f>
        <v>Home Decor</v>
      </c>
      <c r="M426" s="3" t="str">
        <f>VLOOKUP('[1]New Data'!A426,'[1]New Data'!A:T,20,0)</f>
        <v>Decorations</v>
      </c>
      <c r="N426" s="5">
        <f>VLOOKUP('[1]New Data'!A268,'[1]New Data'!A:Z,25,0)</f>
        <v>2</v>
      </c>
    </row>
    <row r="427" spans="1:14" hidden="1" x14ac:dyDescent="0.35">
      <c r="A427" s="2">
        <v>3565493</v>
      </c>
      <c r="B427" s="2">
        <v>16049</v>
      </c>
      <c r="C427" s="2" t="s">
        <v>448</v>
      </c>
      <c r="D427" s="2" t="s">
        <v>15</v>
      </c>
      <c r="E427" s="3">
        <f>VLOOKUP('[1]New Data'!A295,'[1]New Data'!A:H,8,0)</f>
        <v>20</v>
      </c>
      <c r="F427" s="3" t="str">
        <f>VLOOKUP('[1]New Data'!A295,'[1]New Data'!A:J,10,0)</f>
        <v>Male</v>
      </c>
      <c r="G427" s="3" t="str">
        <f>VLOOKUP('[1]New Data'!A295,'[1]New Data'!A:K,11,0)</f>
        <v>Medium</v>
      </c>
      <c r="H427" s="4">
        <f>VLOOKUP('[1]New Data'!A295,'[1]New Data'!A:M,13,0)</f>
        <v>45239</v>
      </c>
      <c r="I427" s="5">
        <f>VLOOKUP('[1]New Data'!A295,'[1]New Data'!A:O,15,0)</f>
        <v>1</v>
      </c>
      <c r="J427" s="3">
        <f>VLOOKUP('[1]New Data'!A295,'[1]New Data'!A:P,16,0)</f>
        <v>250.69217990000001</v>
      </c>
      <c r="K427" s="3">
        <f>VLOOKUP('[1]New Data'!A295,'[1]New Data'!A:Q,17,0)</f>
        <v>250.69217990000001</v>
      </c>
      <c r="L427" s="3" t="str">
        <f>VLOOKUP('[1]New Data'!A427,'[1]New Data'!A:S,19,0)</f>
        <v>Grocery</v>
      </c>
      <c r="M427" s="3" t="str">
        <f>VLOOKUP('[1]New Data'!A427,'[1]New Data'!A:T,20,0)</f>
        <v>Soft Drink</v>
      </c>
      <c r="N427" s="5">
        <f>VLOOKUP('[1]New Data'!A295,'[1]New Data'!A:Z,25,0)</f>
        <v>2</v>
      </c>
    </row>
    <row r="428" spans="1:14" hidden="1" x14ac:dyDescent="0.35">
      <c r="A428" s="2">
        <v>7478681</v>
      </c>
      <c r="B428" s="2">
        <v>73823</v>
      </c>
      <c r="C428" s="2" t="s">
        <v>449</v>
      </c>
      <c r="D428" s="2" t="s">
        <v>15</v>
      </c>
      <c r="E428" s="3">
        <f>VLOOKUP('[1]New Data'!A77,'[1]New Data'!A:H,8,0)</f>
        <v>19</v>
      </c>
      <c r="F428" s="3" t="str">
        <f>VLOOKUP('[1]New Data'!A77,'[1]New Data'!A:J,10,0)</f>
        <v>Female</v>
      </c>
      <c r="G428" s="3" t="str">
        <f>VLOOKUP('[1]New Data'!A77,'[1]New Data'!A:K,11,0)</f>
        <v>Medium</v>
      </c>
      <c r="H428" s="4">
        <f>VLOOKUP('[1]New Data'!A77,'[1]New Data'!A:M,13,0)</f>
        <v>45253</v>
      </c>
      <c r="I428" s="5">
        <f>VLOOKUP('[1]New Data'!A77,'[1]New Data'!A:O,15,0)</f>
        <v>1</v>
      </c>
      <c r="J428" s="3">
        <f>VLOOKUP('[1]New Data'!A77,'[1]New Data'!A:P,16,0)</f>
        <v>249.61483419999999</v>
      </c>
      <c r="K428" s="3">
        <f>VLOOKUP('[1]New Data'!A77,'[1]New Data'!A:Q,17,0)</f>
        <v>249.61483419999999</v>
      </c>
      <c r="L428" s="3" t="str">
        <f>VLOOKUP('[1]New Data'!A428,'[1]New Data'!A:S,19,0)</f>
        <v>Grocery</v>
      </c>
      <c r="M428" s="3" t="str">
        <f>VLOOKUP('[1]New Data'!A428,'[1]New Data'!A:T,20,0)</f>
        <v>Juice</v>
      </c>
      <c r="N428" s="5">
        <f>VLOOKUP('[1]New Data'!A77,'[1]New Data'!A:Z,25,0)</f>
        <v>5</v>
      </c>
    </row>
    <row r="429" spans="1:14" hidden="1" x14ac:dyDescent="0.35">
      <c r="A429" s="2">
        <v>4983775</v>
      </c>
      <c r="B429" s="2">
        <v>27901</v>
      </c>
      <c r="C429" s="2" t="s">
        <v>450</v>
      </c>
      <c r="D429" s="2" t="s">
        <v>451</v>
      </c>
      <c r="E429" s="3">
        <f>VLOOKUP('[1]New Data'!A6,'[1]New Data'!A:H,8,0)</f>
        <v>22</v>
      </c>
      <c r="F429" s="3" t="str">
        <f>VLOOKUP('[1]New Data'!A6,'[1]New Data'!A:J,10,0)</f>
        <v>Male</v>
      </c>
      <c r="G429" s="3" t="str">
        <f>VLOOKUP('[1]New Data'!A6,'[1]New Data'!A:K,11,0)</f>
        <v>Low</v>
      </c>
      <c r="H429" s="4">
        <f>VLOOKUP('[1]New Data'!A6,'[1]New Data'!A:M,13,0)</f>
        <v>45301</v>
      </c>
      <c r="I429" s="5">
        <f>VLOOKUP('[1]New Data'!A6,'[1]New Data'!A:O,15,0)</f>
        <v>2</v>
      </c>
      <c r="J429" s="3">
        <f>VLOOKUP('[1]New Data'!A6,'[1]New Data'!A:P,16,0)</f>
        <v>124.27652449999999</v>
      </c>
      <c r="K429" s="3">
        <f>VLOOKUP('[1]New Data'!A6,'[1]New Data'!A:Q,17,0)</f>
        <v>248.55304910000001</v>
      </c>
      <c r="L429" s="3" t="str">
        <f>VLOOKUP('[1]New Data'!A429,'[1]New Data'!A:S,19,0)</f>
        <v>Grocery</v>
      </c>
      <c r="M429" s="3" t="str">
        <f>VLOOKUP('[1]New Data'!A429,'[1]New Data'!A:T,20,0)</f>
        <v>Water</v>
      </c>
      <c r="N429" s="5">
        <f>VLOOKUP('[1]New Data'!A6,'[1]New Data'!A:Z,25,0)</f>
        <v>1</v>
      </c>
    </row>
    <row r="430" spans="1:14" hidden="1" x14ac:dyDescent="0.35">
      <c r="A430" s="2">
        <v>9255871</v>
      </c>
      <c r="B430" s="2">
        <v>96814</v>
      </c>
      <c r="C430" s="2" t="s">
        <v>452</v>
      </c>
      <c r="D430" s="2" t="s">
        <v>15</v>
      </c>
      <c r="E430" s="3">
        <f>VLOOKUP('[1]New Data'!A121,'[1]New Data'!A:H,8,0)</f>
        <v>27</v>
      </c>
      <c r="F430" s="3" t="str">
        <f>VLOOKUP('[1]New Data'!A121,'[1]New Data'!A:J,10,0)</f>
        <v>Male</v>
      </c>
      <c r="G430" s="3" t="str">
        <f>VLOOKUP('[1]New Data'!A121,'[1]New Data'!A:K,11,0)</f>
        <v>High</v>
      </c>
      <c r="H430" s="4">
        <f>VLOOKUP('[1]New Data'!A121,'[1]New Data'!A:M,13,0)</f>
        <v>45327</v>
      </c>
      <c r="I430" s="5">
        <f>VLOOKUP('[1]New Data'!A121,'[1]New Data'!A:O,15,0)</f>
        <v>1</v>
      </c>
      <c r="J430" s="3">
        <f>VLOOKUP('[1]New Data'!A121,'[1]New Data'!A:P,16,0)</f>
        <v>246.1520185</v>
      </c>
      <c r="K430" s="3">
        <f>VLOOKUP('[1]New Data'!A121,'[1]New Data'!A:Q,17,0)</f>
        <v>246.1520185</v>
      </c>
      <c r="L430" s="3" t="str">
        <f>VLOOKUP('[1]New Data'!A430,'[1]New Data'!A:S,19,0)</f>
        <v>Grocery</v>
      </c>
      <c r="M430" s="3" t="str">
        <f>VLOOKUP('[1]New Data'!A430,'[1]New Data'!A:T,20,0)</f>
        <v>Snacks</v>
      </c>
      <c r="N430" s="5">
        <f>VLOOKUP('[1]New Data'!A121,'[1]New Data'!A:Z,25,0)</f>
        <v>1</v>
      </c>
    </row>
    <row r="431" spans="1:14" hidden="1" x14ac:dyDescent="0.35">
      <c r="A431" s="2">
        <v>2000637</v>
      </c>
      <c r="B431" s="2">
        <v>78399</v>
      </c>
      <c r="C431" s="2" t="s">
        <v>453</v>
      </c>
      <c r="D431" s="2" t="s">
        <v>15</v>
      </c>
      <c r="E431" s="3">
        <f>VLOOKUP('[1]New Data'!A278,'[1]New Data'!A:H,8,0)</f>
        <v>53</v>
      </c>
      <c r="F431" s="3" t="str">
        <f>VLOOKUP('[1]New Data'!A278,'[1]New Data'!A:J,10,0)</f>
        <v>Female</v>
      </c>
      <c r="G431" s="3" t="str">
        <f>VLOOKUP('[1]New Data'!A278,'[1]New Data'!A:K,11,0)</f>
        <v>Low</v>
      </c>
      <c r="H431" s="4">
        <f>VLOOKUP('[1]New Data'!A278,'[1]New Data'!A:M,13,0)</f>
        <v>45268</v>
      </c>
      <c r="I431" s="5">
        <f>VLOOKUP('[1]New Data'!A278,'[1]New Data'!A:O,15,0)</f>
        <v>2</v>
      </c>
      <c r="J431" s="3">
        <f>VLOOKUP('[1]New Data'!A278,'[1]New Data'!A:P,16,0)</f>
        <v>122.3768951</v>
      </c>
      <c r="K431" s="3">
        <f>VLOOKUP('[1]New Data'!A278,'[1]New Data'!A:Q,17,0)</f>
        <v>244.7537902</v>
      </c>
      <c r="L431" s="3" t="str">
        <f>VLOOKUP('[1]New Data'!A431,'[1]New Data'!A:S,19,0)</f>
        <v>Books</v>
      </c>
      <c r="M431" s="3" t="str">
        <f>VLOOKUP('[1]New Data'!A431,'[1]New Data'!A:T,20,0)</f>
        <v>Non-Fiction</v>
      </c>
      <c r="N431" s="5">
        <f>VLOOKUP('[1]New Data'!A278,'[1]New Data'!A:Z,25,0)</f>
        <v>2</v>
      </c>
    </row>
    <row r="432" spans="1:14" hidden="1" x14ac:dyDescent="0.35">
      <c r="A432" s="2">
        <v>2458233</v>
      </c>
      <c r="B432" s="2">
        <v>96840</v>
      </c>
      <c r="C432" s="2" t="s">
        <v>454</v>
      </c>
      <c r="D432" s="2" t="s">
        <v>15</v>
      </c>
      <c r="E432" s="3">
        <f>VLOOKUP('[1]New Data'!A41,'[1]New Data'!A:H,8,0)</f>
        <v>65</v>
      </c>
      <c r="F432" s="3" t="str">
        <f>VLOOKUP('[1]New Data'!A41,'[1]New Data'!A:J,10,0)</f>
        <v>Male</v>
      </c>
      <c r="G432" s="3" t="str">
        <f>VLOOKUP('[1]New Data'!A41,'[1]New Data'!A:K,11,0)</f>
        <v>Low</v>
      </c>
      <c r="H432" s="4">
        <f>VLOOKUP('[1]New Data'!A41,'[1]New Data'!A:M,13,0)</f>
        <v>45228</v>
      </c>
      <c r="I432" s="5">
        <f>VLOOKUP('[1]New Data'!A41,'[1]New Data'!A:O,15,0)</f>
        <v>8</v>
      </c>
      <c r="J432" s="3">
        <f>VLOOKUP('[1]New Data'!A41,'[1]New Data'!A:P,16,0)</f>
        <v>28.82551058</v>
      </c>
      <c r="K432" s="3">
        <f>VLOOKUP('[1]New Data'!A41,'[1]New Data'!A:Q,17,0)</f>
        <v>230.60408469999999</v>
      </c>
      <c r="L432" s="3" t="str">
        <f>VLOOKUP('[1]New Data'!A432,'[1]New Data'!A:S,19,0)</f>
        <v>Electronics</v>
      </c>
      <c r="M432" s="3" t="str">
        <f>VLOOKUP('[1]New Data'!A432,'[1]New Data'!A:T,20,0)</f>
        <v>Smartphone</v>
      </c>
      <c r="N432" s="5">
        <f>VLOOKUP('[1]New Data'!A41,'[1]New Data'!A:Z,25,0)</f>
        <v>4</v>
      </c>
    </row>
    <row r="433" spans="1:14" hidden="1" x14ac:dyDescent="0.35">
      <c r="A433" s="2">
        <v>7726505</v>
      </c>
      <c r="B433" s="2">
        <v>53375</v>
      </c>
      <c r="C433" s="2" t="s">
        <v>455</v>
      </c>
      <c r="D433" s="2" t="s">
        <v>15</v>
      </c>
      <c r="E433" s="3">
        <f>VLOOKUP('[1]New Data'!A431,'[1]New Data'!A:H,8,0)</f>
        <v>62</v>
      </c>
      <c r="F433" s="3" t="str">
        <f>VLOOKUP('[1]New Data'!A431,'[1]New Data'!A:J,10,0)</f>
        <v>Female</v>
      </c>
      <c r="G433" s="3" t="str">
        <f>VLOOKUP('[1]New Data'!A431,'[1]New Data'!A:K,11,0)</f>
        <v>Medium</v>
      </c>
      <c r="H433" s="4">
        <f>VLOOKUP('[1]New Data'!A431,'[1]New Data'!A:M,13,0)</f>
        <v>45084</v>
      </c>
      <c r="I433" s="5">
        <f>VLOOKUP('[1]New Data'!A431,'[1]New Data'!A:O,15,0)</f>
        <v>3</v>
      </c>
      <c r="J433" s="3">
        <f>VLOOKUP('[1]New Data'!A431,'[1]New Data'!A:P,16,0)</f>
        <v>76.383210169999998</v>
      </c>
      <c r="K433" s="3">
        <f>VLOOKUP('[1]New Data'!A431,'[1]New Data'!A:Q,17,0)</f>
        <v>229.1496305</v>
      </c>
      <c r="L433" s="3" t="str">
        <f>VLOOKUP('[1]New Data'!A433,'[1]New Data'!A:S,19,0)</f>
        <v>Books</v>
      </c>
      <c r="M433" s="3" t="str">
        <f>VLOOKUP('[1]New Data'!A433,'[1]New Data'!A:T,20,0)</f>
        <v>Fiction</v>
      </c>
      <c r="N433" s="5">
        <f>VLOOKUP('[1]New Data'!A431,'[1]New Data'!A:Z,25,0)</f>
        <v>1</v>
      </c>
    </row>
    <row r="434" spans="1:14" x14ac:dyDescent="0.35">
      <c r="A434" s="2">
        <v>3073877</v>
      </c>
      <c r="B434" s="2">
        <v>24469</v>
      </c>
      <c r="C434" s="2" t="s">
        <v>456</v>
      </c>
      <c r="D434" s="2" t="s">
        <v>15</v>
      </c>
      <c r="E434" s="3">
        <f>VLOOKUP('[1]New Data'!A338,'[1]New Data'!A:H,8,0)</f>
        <v>34</v>
      </c>
      <c r="F434" s="3" t="str">
        <f>VLOOKUP('[1]New Data'!A338,'[1]New Data'!A:J,10,0)</f>
        <v>Male</v>
      </c>
      <c r="G434" s="3" t="str">
        <f>VLOOKUP('[1]New Data'!A338,'[1]New Data'!A:K,11,0)</f>
        <v>Medium</v>
      </c>
      <c r="H434" s="4">
        <f>VLOOKUP('[1]New Data'!A338,'[1]New Data'!A:M,13,0)</f>
        <v>45170</v>
      </c>
      <c r="I434" s="5">
        <f>VLOOKUP('[1]New Data'!A338,'[1]New Data'!A:O,15,0)</f>
        <v>3</v>
      </c>
      <c r="J434" s="3">
        <f>VLOOKUP('[1]New Data'!A338,'[1]New Data'!A:P,16,0)</f>
        <v>76.057650870000003</v>
      </c>
      <c r="K434" s="3">
        <f>VLOOKUP('[1]New Data'!A338,'[1]New Data'!A:Q,17,0)</f>
        <v>228.1729526</v>
      </c>
      <c r="L434" s="3" t="str">
        <f>VLOOKUP('[1]New Data'!A434,'[1]New Data'!A:S,19,0)</f>
        <v>Home Decor</v>
      </c>
      <c r="M434" s="3" t="str">
        <f>VLOOKUP('[1]New Data'!A434,'[1]New Data'!A:T,20,0)</f>
        <v>Tools</v>
      </c>
      <c r="N434" s="5">
        <f>VLOOKUP('[1]New Data'!A338,'[1]New Data'!A:Z,25,0)</f>
        <v>4</v>
      </c>
    </row>
    <row r="435" spans="1:14" x14ac:dyDescent="0.35">
      <c r="A435" s="2">
        <v>9129532</v>
      </c>
      <c r="B435" s="2">
        <v>11029</v>
      </c>
      <c r="C435" s="2" t="s">
        <v>457</v>
      </c>
      <c r="D435" s="2" t="s">
        <v>15</v>
      </c>
      <c r="E435" s="3">
        <f>VLOOKUP('[1]New Data'!A458,'[1]New Data'!A:H,8,0)</f>
        <v>19</v>
      </c>
      <c r="F435" s="3" t="str">
        <f>VLOOKUP('[1]New Data'!A458,'[1]New Data'!A:J,10,0)</f>
        <v>Female</v>
      </c>
      <c r="G435" s="3" t="str">
        <f>VLOOKUP('[1]New Data'!A458,'[1]New Data'!A:K,11,0)</f>
        <v>Medium</v>
      </c>
      <c r="H435" s="4">
        <f>VLOOKUP('[1]New Data'!A458,'[1]New Data'!A:M,13,0)</f>
        <v>45055</v>
      </c>
      <c r="I435" s="5">
        <f>VLOOKUP('[1]New Data'!A458,'[1]New Data'!A:O,15,0)</f>
        <v>1</v>
      </c>
      <c r="J435" s="3">
        <f>VLOOKUP('[1]New Data'!A458,'[1]New Data'!A:P,16,0)</f>
        <v>226.807244</v>
      </c>
      <c r="K435" s="3">
        <f>VLOOKUP('[1]New Data'!A458,'[1]New Data'!A:Q,17,0)</f>
        <v>226.807244</v>
      </c>
      <c r="L435" s="3" t="str">
        <f>VLOOKUP('[1]New Data'!A435,'[1]New Data'!A:S,19,0)</f>
        <v>Home Decor</v>
      </c>
      <c r="M435" s="3" t="str">
        <f>VLOOKUP('[1]New Data'!A435,'[1]New Data'!A:T,20,0)</f>
        <v>Tools</v>
      </c>
      <c r="N435" s="5">
        <f>VLOOKUP('[1]New Data'!A458,'[1]New Data'!A:Z,25,0)</f>
        <v>4</v>
      </c>
    </row>
    <row r="436" spans="1:14" hidden="1" x14ac:dyDescent="0.35">
      <c r="A436" s="2">
        <v>4440264</v>
      </c>
      <c r="B436" s="2">
        <v>68648</v>
      </c>
      <c r="C436" s="2" t="s">
        <v>458</v>
      </c>
      <c r="D436" s="2" t="s">
        <v>15</v>
      </c>
      <c r="E436" s="3">
        <f>VLOOKUP('[1]New Data'!A80,'[1]New Data'!A:H,8,0)</f>
        <v>35</v>
      </c>
      <c r="F436" s="3" t="str">
        <f>VLOOKUP('[1]New Data'!A80,'[1]New Data'!A:J,10,0)</f>
        <v>Male</v>
      </c>
      <c r="G436" s="3" t="str">
        <f>VLOOKUP('[1]New Data'!A80,'[1]New Data'!A:K,11,0)</f>
        <v>Low</v>
      </c>
      <c r="H436" s="4">
        <f>VLOOKUP('[1]New Data'!A80,'[1]New Data'!A:M,13,0)</f>
        <v>44989</v>
      </c>
      <c r="I436" s="5">
        <f>VLOOKUP('[1]New Data'!A80,'[1]New Data'!A:O,15,0)</f>
        <v>6</v>
      </c>
      <c r="J436" s="3">
        <f>VLOOKUP('[1]New Data'!A80,'[1]New Data'!A:P,16,0)</f>
        <v>37.40545462</v>
      </c>
      <c r="K436" s="3">
        <f>VLOOKUP('[1]New Data'!A80,'[1]New Data'!A:Q,17,0)</f>
        <v>224.43272769999999</v>
      </c>
      <c r="L436" s="3" t="str">
        <f>VLOOKUP('[1]New Data'!A436,'[1]New Data'!A:S,19,0)</f>
        <v>Electronics</v>
      </c>
      <c r="M436" s="3" t="str">
        <f>VLOOKUP('[1]New Data'!A436,'[1]New Data'!A:T,20,0)</f>
        <v>Smartphone</v>
      </c>
      <c r="N436" s="5">
        <f>VLOOKUP('[1]New Data'!A80,'[1]New Data'!A:Z,25,0)</f>
        <v>2</v>
      </c>
    </row>
    <row r="437" spans="1:14" hidden="1" x14ac:dyDescent="0.35">
      <c r="A437" s="2">
        <v>2171546</v>
      </c>
      <c r="B437" s="2">
        <v>42831</v>
      </c>
      <c r="C437" s="2" t="s">
        <v>459</v>
      </c>
      <c r="D437" s="2" t="s">
        <v>15</v>
      </c>
      <c r="E437" s="3">
        <f>VLOOKUP('[1]New Data'!A243,'[1]New Data'!A:H,8,0)</f>
        <v>52</v>
      </c>
      <c r="F437" s="3" t="str">
        <f>VLOOKUP('[1]New Data'!A243,'[1]New Data'!A:J,10,0)</f>
        <v>Male</v>
      </c>
      <c r="G437" s="3" t="str">
        <f>VLOOKUP('[1]New Data'!A243,'[1]New Data'!A:K,11,0)</f>
        <v>Medium</v>
      </c>
      <c r="H437" s="4">
        <f>VLOOKUP('[1]New Data'!A243,'[1]New Data'!A:M,13,0)</f>
        <v>45271</v>
      </c>
      <c r="I437" s="5">
        <f>VLOOKUP('[1]New Data'!A243,'[1]New Data'!A:O,15,0)</f>
        <v>5</v>
      </c>
      <c r="J437" s="3">
        <f>VLOOKUP('[1]New Data'!A243,'[1]New Data'!A:P,16,0)</f>
        <v>44.645223979999997</v>
      </c>
      <c r="K437" s="3">
        <f>VLOOKUP('[1]New Data'!A243,'[1]New Data'!A:Q,17,0)</f>
        <v>223.22611989999999</v>
      </c>
      <c r="L437" s="3" t="str">
        <f>VLOOKUP('[1]New Data'!A437,'[1]New Data'!A:S,19,0)</f>
        <v>Clothing</v>
      </c>
      <c r="M437" s="3" t="str">
        <f>VLOOKUP('[1]New Data'!A437,'[1]New Data'!A:T,20,0)</f>
        <v>Shorts</v>
      </c>
      <c r="N437" s="5">
        <f>VLOOKUP('[1]New Data'!A243,'[1]New Data'!A:Z,25,0)</f>
        <v>3</v>
      </c>
    </row>
    <row r="438" spans="1:14" hidden="1" x14ac:dyDescent="0.35">
      <c r="A438" s="2">
        <v>1469346</v>
      </c>
      <c r="B438" s="2">
        <v>84395</v>
      </c>
      <c r="C438" s="2" t="s">
        <v>460</v>
      </c>
      <c r="D438" s="2" t="s">
        <v>15</v>
      </c>
      <c r="E438" s="3">
        <f>VLOOKUP('[1]New Data'!A436,'[1]New Data'!A:H,8,0)</f>
        <v>52</v>
      </c>
      <c r="F438" s="3" t="str">
        <f>VLOOKUP('[1]New Data'!A436,'[1]New Data'!A:J,10,0)</f>
        <v>Male</v>
      </c>
      <c r="G438" s="3" t="str">
        <f>VLOOKUP('[1]New Data'!A436,'[1]New Data'!A:K,11,0)</f>
        <v>Low</v>
      </c>
      <c r="H438" s="4">
        <f>VLOOKUP('[1]New Data'!A436,'[1]New Data'!A:M,13,0)</f>
        <v>45326</v>
      </c>
      <c r="I438" s="5">
        <f>VLOOKUP('[1]New Data'!A436,'[1]New Data'!A:O,15,0)</f>
        <v>4</v>
      </c>
      <c r="J438" s="3">
        <f>VLOOKUP('[1]New Data'!A436,'[1]New Data'!A:P,16,0)</f>
        <v>55.444171859999997</v>
      </c>
      <c r="K438" s="3">
        <f>VLOOKUP('[1]New Data'!A436,'[1]New Data'!A:Q,17,0)</f>
        <v>221.77668739999999</v>
      </c>
      <c r="L438" s="3" t="str">
        <f>VLOOKUP('[1]New Data'!A438,'[1]New Data'!A:S,19,0)</f>
        <v>Electronics</v>
      </c>
      <c r="M438" s="3" t="str">
        <f>VLOOKUP('[1]New Data'!A438,'[1]New Data'!A:T,20,0)</f>
        <v>Smartphone</v>
      </c>
      <c r="N438" s="5">
        <f>VLOOKUP('[1]New Data'!A436,'[1]New Data'!A:Z,25,0)</f>
        <v>4</v>
      </c>
    </row>
    <row r="439" spans="1:14" hidden="1" x14ac:dyDescent="0.35">
      <c r="A439" s="2">
        <v>3270773</v>
      </c>
      <c r="B439" s="2">
        <v>96867</v>
      </c>
      <c r="C439" s="2" t="s">
        <v>461</v>
      </c>
      <c r="D439" s="2" t="s">
        <v>15</v>
      </c>
      <c r="E439" s="3">
        <f>VLOOKUP('[1]New Data'!A315,'[1]New Data'!A:H,8,0)</f>
        <v>21</v>
      </c>
      <c r="F439" s="3" t="str">
        <f>VLOOKUP('[1]New Data'!A315,'[1]New Data'!A:J,10,0)</f>
        <v>Female</v>
      </c>
      <c r="G439" s="3" t="str">
        <f>VLOOKUP('[1]New Data'!A315,'[1]New Data'!A:K,11,0)</f>
        <v>Medium</v>
      </c>
      <c r="H439" s="4">
        <f>VLOOKUP('[1]New Data'!A315,'[1]New Data'!A:M,13,0)</f>
        <v>45298</v>
      </c>
      <c r="I439" s="5">
        <f>VLOOKUP('[1]New Data'!A315,'[1]New Data'!A:O,15,0)</f>
        <v>1</v>
      </c>
      <c r="J439" s="3">
        <f>VLOOKUP('[1]New Data'!A315,'[1]New Data'!A:P,16,0)</f>
        <v>213.67942339999999</v>
      </c>
      <c r="K439" s="3">
        <f>VLOOKUP('[1]New Data'!A315,'[1]New Data'!A:Q,17,0)</f>
        <v>213.67942339999999</v>
      </c>
      <c r="L439" s="3" t="str">
        <f>VLOOKUP('[1]New Data'!A439,'[1]New Data'!A:S,19,0)</f>
        <v>Books</v>
      </c>
      <c r="M439" s="3" t="str">
        <f>VLOOKUP('[1]New Data'!A439,'[1]New Data'!A:T,20,0)</f>
        <v>Non-Fiction</v>
      </c>
      <c r="N439" s="5">
        <f>VLOOKUP('[1]New Data'!A315,'[1]New Data'!A:Z,25,0)</f>
        <v>1</v>
      </c>
    </row>
    <row r="440" spans="1:14" hidden="1" x14ac:dyDescent="0.35">
      <c r="A440" s="2">
        <v>8942113</v>
      </c>
      <c r="B440" s="2">
        <v>72626</v>
      </c>
      <c r="C440" s="2" t="s">
        <v>462</v>
      </c>
      <c r="D440" s="2" t="s">
        <v>15</v>
      </c>
      <c r="E440" s="3">
        <f>VLOOKUP('[1]New Data'!A106,'[1]New Data'!A:H,8,0)</f>
        <v>58</v>
      </c>
      <c r="F440" s="3" t="str">
        <f>VLOOKUP('[1]New Data'!A106,'[1]New Data'!A:J,10,0)</f>
        <v>Male</v>
      </c>
      <c r="G440" s="3" t="str">
        <f>VLOOKUP('[1]New Data'!A106,'[1]New Data'!A:K,11,0)</f>
        <v>Medium</v>
      </c>
      <c r="H440" s="4">
        <f>VLOOKUP('[1]New Data'!A106,'[1]New Data'!A:M,13,0)</f>
        <v>45316</v>
      </c>
      <c r="I440" s="5">
        <f>VLOOKUP('[1]New Data'!A106,'[1]New Data'!A:O,15,0)</f>
        <v>1</v>
      </c>
      <c r="J440" s="3">
        <f>VLOOKUP('[1]New Data'!A106,'[1]New Data'!A:P,16,0)</f>
        <v>212.30246589999999</v>
      </c>
      <c r="K440" s="3">
        <f>VLOOKUP('[1]New Data'!A106,'[1]New Data'!A:Q,17,0)</f>
        <v>212.30246589999999</v>
      </c>
      <c r="L440" s="3" t="str">
        <f>VLOOKUP('[1]New Data'!A440,'[1]New Data'!A:S,19,0)</f>
        <v>Electronics</v>
      </c>
      <c r="M440" s="3" t="str">
        <f>VLOOKUP('[1]New Data'!A440,'[1]New Data'!A:T,20,0)</f>
        <v>Laptop</v>
      </c>
      <c r="N440" s="5">
        <f>VLOOKUP('[1]New Data'!A106,'[1]New Data'!A:Z,25,0)</f>
        <v>2</v>
      </c>
    </row>
    <row r="441" spans="1:14" hidden="1" x14ac:dyDescent="0.35">
      <c r="A441" s="2">
        <v>7728099</v>
      </c>
      <c r="B441" s="2">
        <v>78376</v>
      </c>
      <c r="C441" s="2" t="s">
        <v>463</v>
      </c>
      <c r="D441" s="2" t="s">
        <v>15</v>
      </c>
      <c r="E441" s="3">
        <f>VLOOKUP('[1]New Data'!A20,'[1]New Data'!A:H,8,0)</f>
        <v>49</v>
      </c>
      <c r="F441" s="3" t="str">
        <f>VLOOKUP('[1]New Data'!A20,'[1]New Data'!A:J,10,0)</f>
        <v>Male</v>
      </c>
      <c r="G441" s="3" t="str">
        <f>VLOOKUP('[1]New Data'!A20,'[1]New Data'!A:K,11,0)</f>
        <v>Low</v>
      </c>
      <c r="H441" s="4">
        <f>VLOOKUP('[1]New Data'!A20,'[1]New Data'!A:M,13,0)</f>
        <v>45329</v>
      </c>
      <c r="I441" s="5">
        <f>VLOOKUP('[1]New Data'!A20,'[1]New Data'!A:O,15,0)</f>
        <v>1</v>
      </c>
      <c r="J441" s="3">
        <f>VLOOKUP('[1]New Data'!A20,'[1]New Data'!A:P,16,0)</f>
        <v>210.13791879999999</v>
      </c>
      <c r="K441" s="3">
        <f>VLOOKUP('[1]New Data'!A20,'[1]New Data'!A:Q,17,0)</f>
        <v>210.13791879999999</v>
      </c>
      <c r="L441" s="3" t="str">
        <f>VLOOKUP('[1]New Data'!A441,'[1]New Data'!A:S,19,0)</f>
        <v>Electronics</v>
      </c>
      <c r="M441" s="3" t="str">
        <f>VLOOKUP('[1]New Data'!A441,'[1]New Data'!A:T,20,0)</f>
        <v>Tablet</v>
      </c>
      <c r="N441" s="5">
        <f>VLOOKUP('[1]New Data'!A20,'[1]New Data'!A:Z,25,0)</f>
        <v>1</v>
      </c>
    </row>
    <row r="442" spans="1:14" hidden="1" x14ac:dyDescent="0.35">
      <c r="A442" s="2">
        <v>8221142</v>
      </c>
      <c r="B442" s="2">
        <v>56437</v>
      </c>
      <c r="C442" s="2" t="s">
        <v>464</v>
      </c>
      <c r="D442" s="2" t="s">
        <v>15</v>
      </c>
      <c r="E442" s="3">
        <f>VLOOKUP('[1]New Data'!A417,'[1]New Data'!A:H,8,0)</f>
        <v>27</v>
      </c>
      <c r="F442" s="3" t="str">
        <f>VLOOKUP('[1]New Data'!A417,'[1]New Data'!A:J,10,0)</f>
        <v>Female</v>
      </c>
      <c r="G442" s="3" t="str">
        <f>VLOOKUP('[1]New Data'!A417,'[1]New Data'!A:K,11,0)</f>
        <v>Medium</v>
      </c>
      <c r="H442" s="4">
        <f>VLOOKUP('[1]New Data'!A417,'[1]New Data'!A:M,13,0)</f>
        <v>45116</v>
      </c>
      <c r="I442" s="5">
        <f>VLOOKUP('[1]New Data'!A417,'[1]New Data'!A:O,15,0)</f>
        <v>7</v>
      </c>
      <c r="J442" s="3">
        <f>VLOOKUP('[1]New Data'!A417,'[1]New Data'!A:P,16,0)</f>
        <v>29.756834210000001</v>
      </c>
      <c r="K442" s="3">
        <f>VLOOKUP('[1]New Data'!A417,'[1]New Data'!A:Q,17,0)</f>
        <v>208.29783950000001</v>
      </c>
      <c r="L442" s="3" t="str">
        <f>VLOOKUP('[1]New Data'!A442,'[1]New Data'!A:S,19,0)</f>
        <v>Books</v>
      </c>
      <c r="M442" s="3" t="str">
        <f>VLOOKUP('[1]New Data'!A442,'[1]New Data'!A:T,20,0)</f>
        <v>Non-Fiction</v>
      </c>
      <c r="N442" s="5">
        <f>VLOOKUP('[1]New Data'!A417,'[1]New Data'!A:Z,25,0)</f>
        <v>2</v>
      </c>
    </row>
    <row r="443" spans="1:14" hidden="1" x14ac:dyDescent="0.35">
      <c r="A443" s="2">
        <v>4673562</v>
      </c>
      <c r="B443" s="2">
        <v>43571</v>
      </c>
      <c r="C443" s="2" t="s">
        <v>465</v>
      </c>
      <c r="D443" s="2" t="s">
        <v>15</v>
      </c>
      <c r="E443" s="3">
        <f>VLOOKUP('[1]New Data'!A347,'[1]New Data'!A:H,8,0)</f>
        <v>18</v>
      </c>
      <c r="F443" s="3" t="str">
        <f>VLOOKUP('[1]New Data'!A347,'[1]New Data'!A:J,10,0)</f>
        <v>Male</v>
      </c>
      <c r="G443" s="3" t="str">
        <f>VLOOKUP('[1]New Data'!A347,'[1]New Data'!A:K,11,0)</f>
        <v>Low</v>
      </c>
      <c r="H443" s="4">
        <f>VLOOKUP('[1]New Data'!A347,'[1]New Data'!A:M,13,0)</f>
        <v>45268</v>
      </c>
      <c r="I443" s="5">
        <f>VLOOKUP('[1]New Data'!A347,'[1]New Data'!A:O,15,0)</f>
        <v>1</v>
      </c>
      <c r="J443" s="3">
        <f>VLOOKUP('[1]New Data'!A347,'[1]New Data'!A:P,16,0)</f>
        <v>207.0866948</v>
      </c>
      <c r="K443" s="3">
        <f>VLOOKUP('[1]New Data'!A347,'[1]New Data'!A:Q,17,0)</f>
        <v>207.0866948</v>
      </c>
      <c r="L443" s="3" t="str">
        <f>VLOOKUP('[1]New Data'!A443,'[1]New Data'!A:S,19,0)</f>
        <v>Electronics</v>
      </c>
      <c r="M443" s="3" t="str">
        <f>VLOOKUP('[1]New Data'!A443,'[1]New Data'!A:T,20,0)</f>
        <v>Tablet</v>
      </c>
      <c r="N443" s="5">
        <f>VLOOKUP('[1]New Data'!A347,'[1]New Data'!A:Z,25,0)</f>
        <v>2</v>
      </c>
    </row>
    <row r="444" spans="1:14" hidden="1" x14ac:dyDescent="0.35">
      <c r="A444" s="2">
        <v>2055036</v>
      </c>
      <c r="B444" s="2">
        <v>25848</v>
      </c>
      <c r="C444" s="2" t="s">
        <v>466</v>
      </c>
      <c r="D444" s="2" t="s">
        <v>15</v>
      </c>
      <c r="E444" s="3">
        <f>VLOOKUP('[1]New Data'!A42,'[1]New Data'!A:H,8,0)</f>
        <v>40</v>
      </c>
      <c r="F444" s="3" t="str">
        <f>VLOOKUP('[1]New Data'!A42,'[1]New Data'!A:J,10,0)</f>
        <v>Male</v>
      </c>
      <c r="G444" s="3" t="str">
        <f>VLOOKUP('[1]New Data'!A42,'[1]New Data'!A:K,11,0)</f>
        <v>High</v>
      </c>
      <c r="H444" s="4">
        <f>VLOOKUP('[1]New Data'!A42,'[1]New Data'!A:M,13,0)</f>
        <v>45343</v>
      </c>
      <c r="I444" s="5">
        <f>VLOOKUP('[1]New Data'!A42,'[1]New Data'!A:O,15,0)</f>
        <v>10</v>
      </c>
      <c r="J444" s="3">
        <f>VLOOKUP('[1]New Data'!A42,'[1]New Data'!A:P,16,0)</f>
        <v>20.528536769999999</v>
      </c>
      <c r="K444" s="3">
        <f>VLOOKUP('[1]New Data'!A42,'[1]New Data'!A:Q,17,0)</f>
        <v>205.28536769999999</v>
      </c>
      <c r="L444" s="3" t="str">
        <f>VLOOKUP('[1]New Data'!A444,'[1]New Data'!A:S,19,0)</f>
        <v>Electronics</v>
      </c>
      <c r="M444" s="3" t="str">
        <f>VLOOKUP('[1]New Data'!A444,'[1]New Data'!A:T,20,0)</f>
        <v>Television</v>
      </c>
      <c r="N444" s="5">
        <f>VLOOKUP('[1]New Data'!A42,'[1]New Data'!A:Z,25,0)</f>
        <v>4</v>
      </c>
    </row>
    <row r="445" spans="1:14" x14ac:dyDescent="0.35">
      <c r="A445" s="2">
        <v>9476855</v>
      </c>
      <c r="B445" s="2">
        <v>42410</v>
      </c>
      <c r="C445" s="2" t="s">
        <v>467</v>
      </c>
      <c r="D445" s="2" t="s">
        <v>15</v>
      </c>
      <c r="E445" s="3">
        <f>VLOOKUP('[1]New Data'!A24,'[1]New Data'!A:H,8,0)</f>
        <v>21</v>
      </c>
      <c r="F445" s="3" t="str">
        <f>VLOOKUP('[1]New Data'!A24,'[1]New Data'!A:J,10,0)</f>
        <v>Female</v>
      </c>
      <c r="G445" s="3" t="str">
        <f>VLOOKUP('[1]New Data'!A24,'[1]New Data'!A:K,11,0)</f>
        <v>Low</v>
      </c>
      <c r="H445" s="4">
        <f>VLOOKUP('[1]New Data'!A24,'[1]New Data'!A:M,13,0)</f>
        <v>45325</v>
      </c>
      <c r="I445" s="5">
        <f>VLOOKUP('[1]New Data'!A24,'[1]New Data'!A:O,15,0)</f>
        <v>6</v>
      </c>
      <c r="J445" s="3">
        <f>VLOOKUP('[1]New Data'!A24,'[1]New Data'!A:P,16,0)</f>
        <v>34.124266310000003</v>
      </c>
      <c r="K445" s="3">
        <f>VLOOKUP('[1]New Data'!A24,'[1]New Data'!A:Q,17,0)</f>
        <v>204.74559790000001</v>
      </c>
      <c r="L445" s="3" t="str">
        <f>VLOOKUP('[1]New Data'!A445,'[1]New Data'!A:S,19,0)</f>
        <v>Home Decor</v>
      </c>
      <c r="M445" s="3" t="str">
        <f>VLOOKUP('[1]New Data'!A445,'[1]New Data'!A:T,20,0)</f>
        <v>Lighting</v>
      </c>
      <c r="N445" s="5">
        <f>VLOOKUP('[1]New Data'!A24,'[1]New Data'!A:Z,25,0)</f>
        <v>2</v>
      </c>
    </row>
    <row r="446" spans="1:14" hidden="1" x14ac:dyDescent="0.35">
      <c r="A446" s="2">
        <v>2110835</v>
      </c>
      <c r="B446" s="2">
        <v>38014</v>
      </c>
      <c r="C446" s="2" t="s">
        <v>468</v>
      </c>
      <c r="D446" s="2" t="s">
        <v>15</v>
      </c>
      <c r="E446" s="3">
        <f>VLOOKUP('[1]New Data'!A412,'[1]New Data'!A:H,8,0)</f>
        <v>32</v>
      </c>
      <c r="F446" s="3" t="str">
        <f>VLOOKUP('[1]New Data'!A412,'[1]New Data'!A:J,10,0)</f>
        <v>Male</v>
      </c>
      <c r="G446" s="3" t="str">
        <f>VLOOKUP('[1]New Data'!A412,'[1]New Data'!A:K,11,0)</f>
        <v>High</v>
      </c>
      <c r="H446" s="4">
        <f>VLOOKUP('[1]New Data'!A412,'[1]New Data'!A:M,13,0)</f>
        <v>45189</v>
      </c>
      <c r="I446" s="5">
        <f>VLOOKUP('[1]New Data'!A412,'[1]New Data'!A:O,15,0)</f>
        <v>2</v>
      </c>
      <c r="J446" s="3">
        <f>VLOOKUP('[1]New Data'!A412,'[1]New Data'!A:P,16,0)</f>
        <v>99.002390939999998</v>
      </c>
      <c r="K446" s="3">
        <f>VLOOKUP('[1]New Data'!A412,'[1]New Data'!A:Q,17,0)</f>
        <v>198.00478190000001</v>
      </c>
      <c r="L446" s="3" t="str">
        <f>VLOOKUP('[1]New Data'!A446,'[1]New Data'!A:S,19,0)</f>
        <v>Clothing</v>
      </c>
      <c r="M446" s="3" t="str">
        <f>VLOOKUP('[1]New Data'!A446,'[1]New Data'!A:T,20,0)</f>
        <v>Shirt</v>
      </c>
      <c r="N446" s="5">
        <f>VLOOKUP('[1]New Data'!A412,'[1]New Data'!A:Z,25,0)</f>
        <v>2</v>
      </c>
    </row>
    <row r="447" spans="1:14" hidden="1" x14ac:dyDescent="0.35">
      <c r="A447" s="2">
        <v>6343277</v>
      </c>
      <c r="B447" s="2">
        <v>98301</v>
      </c>
      <c r="C447" s="2" t="s">
        <v>469</v>
      </c>
      <c r="D447" s="2" t="s">
        <v>15</v>
      </c>
      <c r="E447" s="3">
        <f>VLOOKUP('[1]New Data'!A367,'[1]New Data'!A:H,8,0)</f>
        <v>20</v>
      </c>
      <c r="F447" s="3" t="str">
        <f>VLOOKUP('[1]New Data'!A367,'[1]New Data'!A:J,10,0)</f>
        <v>Male</v>
      </c>
      <c r="G447" s="3" t="str">
        <f>VLOOKUP('[1]New Data'!A367,'[1]New Data'!A:K,11,0)</f>
        <v>Low</v>
      </c>
      <c r="H447" s="4">
        <f>VLOOKUP('[1]New Data'!A367,'[1]New Data'!A:M,13,0)</f>
        <v>45012</v>
      </c>
      <c r="I447" s="5">
        <f>VLOOKUP('[1]New Data'!A367,'[1]New Data'!A:O,15,0)</f>
        <v>1</v>
      </c>
      <c r="J447" s="3">
        <f>VLOOKUP('[1]New Data'!A367,'[1]New Data'!A:P,16,0)</f>
        <v>196.9273522</v>
      </c>
      <c r="K447" s="3">
        <f>VLOOKUP('[1]New Data'!A367,'[1]New Data'!A:Q,17,0)</f>
        <v>196.9273522</v>
      </c>
      <c r="L447" s="3" t="str">
        <f>VLOOKUP('[1]New Data'!A447,'[1]New Data'!A:S,19,0)</f>
        <v>Clothing</v>
      </c>
      <c r="M447" s="3" t="str">
        <f>VLOOKUP('[1]New Data'!A447,'[1]New Data'!A:T,20,0)</f>
        <v>T-shirt</v>
      </c>
      <c r="N447" s="5">
        <f>VLOOKUP('[1]New Data'!A367,'[1]New Data'!A:Z,25,0)</f>
        <v>3</v>
      </c>
    </row>
    <row r="448" spans="1:14" x14ac:dyDescent="0.35">
      <c r="A448" s="2">
        <v>7850231</v>
      </c>
      <c r="B448" s="2">
        <v>84982</v>
      </c>
      <c r="C448" s="2" t="s">
        <v>470</v>
      </c>
      <c r="D448" s="2" t="s">
        <v>15</v>
      </c>
      <c r="E448" s="3">
        <f>VLOOKUP('[1]New Data'!A126,'[1]New Data'!A:H,8,0)</f>
        <v>68</v>
      </c>
      <c r="F448" s="3" t="str">
        <f>VLOOKUP('[1]New Data'!A126,'[1]New Data'!A:J,10,0)</f>
        <v>Female</v>
      </c>
      <c r="G448" s="3" t="str">
        <f>VLOOKUP('[1]New Data'!A126,'[1]New Data'!A:K,11,0)</f>
        <v>Low</v>
      </c>
      <c r="H448" s="4">
        <f>VLOOKUP('[1]New Data'!A126,'[1]New Data'!A:M,13,0)</f>
        <v>45297</v>
      </c>
      <c r="I448" s="5">
        <f>VLOOKUP('[1]New Data'!A126,'[1]New Data'!A:O,15,0)</f>
        <v>2</v>
      </c>
      <c r="J448" s="3">
        <f>VLOOKUP('[1]New Data'!A126,'[1]New Data'!A:P,16,0)</f>
        <v>98.220574679999999</v>
      </c>
      <c r="K448" s="3">
        <f>VLOOKUP('[1]New Data'!A126,'[1]New Data'!A:Q,17,0)</f>
        <v>196.4411494</v>
      </c>
      <c r="L448" s="3" t="str">
        <f>VLOOKUP('[1]New Data'!A448,'[1]New Data'!A:S,19,0)</f>
        <v>Home Decor</v>
      </c>
      <c r="M448" s="3" t="str">
        <f>VLOOKUP('[1]New Data'!A448,'[1]New Data'!A:T,20,0)</f>
        <v>Bathroom</v>
      </c>
      <c r="N448" s="5">
        <f>VLOOKUP('[1]New Data'!A126,'[1]New Data'!A:Z,25,0)</f>
        <v>1</v>
      </c>
    </row>
    <row r="449" spans="1:14" hidden="1" x14ac:dyDescent="0.35">
      <c r="A449" s="2">
        <v>3406772</v>
      </c>
      <c r="B449" s="2">
        <v>41496</v>
      </c>
      <c r="C449" s="2" t="s">
        <v>471</v>
      </c>
      <c r="D449" s="2" t="s">
        <v>15</v>
      </c>
      <c r="E449" s="3">
        <f>VLOOKUP('[1]New Data'!A444,'[1]New Data'!A:H,8,0)</f>
        <v>55</v>
      </c>
      <c r="F449" s="3" t="str">
        <f>VLOOKUP('[1]New Data'!A444,'[1]New Data'!A:J,10,0)</f>
        <v>Male</v>
      </c>
      <c r="G449" s="3" t="str">
        <f>VLOOKUP('[1]New Data'!A444,'[1]New Data'!A:K,11,0)</f>
        <v>High</v>
      </c>
      <c r="H449" s="4">
        <f>VLOOKUP('[1]New Data'!A444,'[1]New Data'!A:M,13,0)</f>
        <v>45094</v>
      </c>
      <c r="I449" s="5">
        <f>VLOOKUP('[1]New Data'!A444,'[1]New Data'!A:O,15,0)</f>
        <v>1</v>
      </c>
      <c r="J449" s="3">
        <f>VLOOKUP('[1]New Data'!A444,'[1]New Data'!A:P,16,0)</f>
        <v>195.8041139</v>
      </c>
      <c r="K449" s="3">
        <f>VLOOKUP('[1]New Data'!A444,'[1]New Data'!A:Q,17,0)</f>
        <v>195.8041139</v>
      </c>
      <c r="L449" s="3" t="str">
        <f>VLOOKUP('[1]New Data'!A449,'[1]New Data'!A:S,19,0)</f>
        <v>Electronics</v>
      </c>
      <c r="M449" s="3" t="str">
        <f>VLOOKUP('[1]New Data'!A449,'[1]New Data'!A:T,20,0)</f>
        <v>Smartphone</v>
      </c>
      <c r="N449" s="5">
        <f>VLOOKUP('[1]New Data'!A444,'[1]New Data'!A:Z,25,0)</f>
        <v>1</v>
      </c>
    </row>
    <row r="450" spans="1:14" hidden="1" x14ac:dyDescent="0.35">
      <c r="A450" s="2">
        <v>1803037</v>
      </c>
      <c r="B450" s="2">
        <v>69500</v>
      </c>
      <c r="C450" s="2" t="s">
        <v>472</v>
      </c>
      <c r="D450" s="2" t="s">
        <v>15</v>
      </c>
      <c r="E450" s="3">
        <f>VLOOKUP('[1]New Data'!A299,'[1]New Data'!A:H,8,0)</f>
        <v>61</v>
      </c>
      <c r="F450" s="3" t="str">
        <f>VLOOKUP('[1]New Data'!A299,'[1]New Data'!A:J,10,0)</f>
        <v>Male</v>
      </c>
      <c r="G450" s="3" t="str">
        <f>VLOOKUP('[1]New Data'!A299,'[1]New Data'!A:K,11,0)</f>
        <v>Low</v>
      </c>
      <c r="H450" s="4">
        <f>VLOOKUP('[1]New Data'!A299,'[1]New Data'!A:M,13,0)</f>
        <v>45000</v>
      </c>
      <c r="I450" s="5">
        <f>VLOOKUP('[1]New Data'!A299,'[1]New Data'!A:O,15,0)</f>
        <v>1</v>
      </c>
      <c r="J450" s="3">
        <f>VLOOKUP('[1]New Data'!A299,'[1]New Data'!A:P,16,0)</f>
        <v>195.64080580000001</v>
      </c>
      <c r="K450" s="3">
        <f>VLOOKUP('[1]New Data'!A299,'[1]New Data'!A:Q,17,0)</f>
        <v>195.64080580000001</v>
      </c>
      <c r="L450" s="3" t="str">
        <f>VLOOKUP('[1]New Data'!A450,'[1]New Data'!A:S,19,0)</f>
        <v>Clothing</v>
      </c>
      <c r="M450" s="3" t="str">
        <f>VLOOKUP('[1]New Data'!A450,'[1]New Data'!A:T,20,0)</f>
        <v>Jeans</v>
      </c>
      <c r="N450" s="5">
        <f>VLOOKUP('[1]New Data'!A299,'[1]New Data'!A:Z,25,0)</f>
        <v>1</v>
      </c>
    </row>
    <row r="451" spans="1:14" x14ac:dyDescent="0.35">
      <c r="A451" s="2">
        <v>6964312</v>
      </c>
      <c r="B451" s="2">
        <v>72646</v>
      </c>
      <c r="C451" s="2" t="s">
        <v>473</v>
      </c>
      <c r="D451" s="2" t="s">
        <v>15</v>
      </c>
      <c r="E451" s="3">
        <f>VLOOKUP('[1]New Data'!A430,'[1]New Data'!A:H,8,0)</f>
        <v>23</v>
      </c>
      <c r="F451" s="3" t="str">
        <f>VLOOKUP('[1]New Data'!A430,'[1]New Data'!A:J,10,0)</f>
        <v>Female</v>
      </c>
      <c r="G451" s="3" t="str">
        <f>VLOOKUP('[1]New Data'!A430,'[1]New Data'!A:K,11,0)</f>
        <v>Low</v>
      </c>
      <c r="H451" s="4">
        <f>VLOOKUP('[1]New Data'!A430,'[1]New Data'!A:M,13,0)</f>
        <v>44997</v>
      </c>
      <c r="I451" s="5">
        <f>VLOOKUP('[1]New Data'!A430,'[1]New Data'!A:O,15,0)</f>
        <v>8</v>
      </c>
      <c r="J451" s="3">
        <f>VLOOKUP('[1]New Data'!A430,'[1]New Data'!A:P,16,0)</f>
        <v>23.94875369</v>
      </c>
      <c r="K451" s="3">
        <f>VLOOKUP('[1]New Data'!A430,'[1]New Data'!A:Q,17,0)</f>
        <v>191.59002950000001</v>
      </c>
      <c r="L451" s="3" t="str">
        <f>VLOOKUP('[1]New Data'!A451,'[1]New Data'!A:S,19,0)</f>
        <v>Home Decor</v>
      </c>
      <c r="M451" s="3" t="str">
        <f>VLOOKUP('[1]New Data'!A451,'[1]New Data'!A:T,20,0)</f>
        <v>Decorations</v>
      </c>
      <c r="N451" s="5">
        <f>VLOOKUP('[1]New Data'!A430,'[1]New Data'!A:Z,25,0)</f>
        <v>2</v>
      </c>
    </row>
    <row r="452" spans="1:14" hidden="1" x14ac:dyDescent="0.35">
      <c r="A452" s="2">
        <v>5575470</v>
      </c>
      <c r="B452" s="2">
        <v>21352</v>
      </c>
      <c r="C452" s="2" t="s">
        <v>474</v>
      </c>
      <c r="D452" s="2" t="s">
        <v>15</v>
      </c>
      <c r="E452" s="3">
        <f>VLOOKUP('[1]New Data'!A118,'[1]New Data'!A:H,8,0)</f>
        <v>42</v>
      </c>
      <c r="F452" s="3" t="str">
        <f>VLOOKUP('[1]New Data'!A118,'[1]New Data'!A:J,10,0)</f>
        <v>Male</v>
      </c>
      <c r="G452" s="3" t="str">
        <f>VLOOKUP('[1]New Data'!A118,'[1]New Data'!A:K,11,0)</f>
        <v>Low</v>
      </c>
      <c r="H452" s="4">
        <f>VLOOKUP('[1]New Data'!A118,'[1]New Data'!A:M,13,0)</f>
        <v>44989</v>
      </c>
      <c r="I452" s="5">
        <f>VLOOKUP('[1]New Data'!A118,'[1]New Data'!A:O,15,0)</f>
        <v>1</v>
      </c>
      <c r="J452" s="3">
        <f>VLOOKUP('[1]New Data'!A118,'[1]New Data'!A:P,16,0)</f>
        <v>191.2814448</v>
      </c>
      <c r="K452" s="3">
        <f>VLOOKUP('[1]New Data'!A118,'[1]New Data'!A:Q,17,0)</f>
        <v>191.2814448</v>
      </c>
      <c r="L452" s="3" t="str">
        <f>VLOOKUP('[1]New Data'!A452,'[1]New Data'!A:S,19,0)</f>
        <v>Books</v>
      </c>
      <c r="M452" s="3" t="str">
        <f>VLOOKUP('[1]New Data'!A452,'[1]New Data'!A:T,20,0)</f>
        <v>Non-Fiction</v>
      </c>
      <c r="N452" s="5">
        <f>VLOOKUP('[1]New Data'!A118,'[1]New Data'!A:Z,25,0)</f>
        <v>4</v>
      </c>
    </row>
    <row r="453" spans="1:14" hidden="1" x14ac:dyDescent="0.35">
      <c r="A453" s="2">
        <v>2115776</v>
      </c>
      <c r="B453" s="2">
        <v>39581</v>
      </c>
      <c r="C453" s="2" t="s">
        <v>475</v>
      </c>
      <c r="D453" s="2" t="s">
        <v>15</v>
      </c>
      <c r="E453" s="3">
        <f>VLOOKUP('[1]New Data'!A245,'[1]New Data'!A:H,8,0)</f>
        <v>55</v>
      </c>
      <c r="F453" s="3" t="str">
        <f>VLOOKUP('[1]New Data'!A245,'[1]New Data'!A:J,10,0)</f>
        <v>Male</v>
      </c>
      <c r="G453" s="3" t="str">
        <f>VLOOKUP('[1]New Data'!A245,'[1]New Data'!A:K,11,0)</f>
        <v>Medium</v>
      </c>
      <c r="H453" s="4">
        <f>VLOOKUP('[1]New Data'!A245,'[1]New Data'!A:M,13,0)</f>
        <v>45147</v>
      </c>
      <c r="I453" s="5">
        <f>VLOOKUP('[1]New Data'!A245,'[1]New Data'!A:O,15,0)</f>
        <v>1</v>
      </c>
      <c r="J453" s="3">
        <f>VLOOKUP('[1]New Data'!A245,'[1]New Data'!A:P,16,0)</f>
        <v>190.32789829999999</v>
      </c>
      <c r="K453" s="3">
        <f>VLOOKUP('[1]New Data'!A245,'[1]New Data'!A:Q,17,0)</f>
        <v>190.32789829999999</v>
      </c>
      <c r="L453" s="3" t="str">
        <f>VLOOKUP('[1]New Data'!A453,'[1]New Data'!A:S,19,0)</f>
        <v>Grocery</v>
      </c>
      <c r="M453" s="3" t="str">
        <f>VLOOKUP('[1]New Data'!A453,'[1]New Data'!A:T,20,0)</f>
        <v>Soft Drink</v>
      </c>
      <c r="N453" s="5">
        <f>VLOOKUP('[1]New Data'!A245,'[1]New Data'!A:Z,25,0)</f>
        <v>1</v>
      </c>
    </row>
    <row r="454" spans="1:14" hidden="1" x14ac:dyDescent="0.35">
      <c r="A454" s="2">
        <v>5104546</v>
      </c>
      <c r="B454" s="2">
        <v>25605</v>
      </c>
      <c r="C454" s="2" t="s">
        <v>476</v>
      </c>
      <c r="D454" s="2" t="s">
        <v>15</v>
      </c>
      <c r="E454" s="3">
        <f>VLOOKUP('[1]New Data'!A178,'[1]New Data'!A:H,8,0)</f>
        <v>60</v>
      </c>
      <c r="F454" s="3" t="str">
        <f>VLOOKUP('[1]New Data'!A178,'[1]New Data'!A:J,10,0)</f>
        <v>Male</v>
      </c>
      <c r="G454" s="3" t="str">
        <f>VLOOKUP('[1]New Data'!A178,'[1]New Data'!A:K,11,0)</f>
        <v>Low</v>
      </c>
      <c r="H454" s="4">
        <f>VLOOKUP('[1]New Data'!A178,'[1]New Data'!A:M,13,0)</f>
        <v>45275</v>
      </c>
      <c r="I454" s="5">
        <f>VLOOKUP('[1]New Data'!A178,'[1]New Data'!A:O,15,0)</f>
        <v>2</v>
      </c>
      <c r="J454" s="3">
        <f>VLOOKUP('[1]New Data'!A178,'[1]New Data'!A:P,16,0)</f>
        <v>92.295434150000006</v>
      </c>
      <c r="K454" s="3">
        <f>VLOOKUP('[1]New Data'!A178,'[1]New Data'!A:Q,17,0)</f>
        <v>184.59086830000001</v>
      </c>
      <c r="L454" s="3" t="str">
        <f>VLOOKUP('[1]New Data'!A454,'[1]New Data'!A:S,19,0)</f>
        <v>Clothing</v>
      </c>
      <c r="M454" s="3" t="str">
        <f>VLOOKUP('[1]New Data'!A454,'[1]New Data'!A:T,20,0)</f>
        <v>Shorts</v>
      </c>
      <c r="N454" s="5">
        <f>VLOOKUP('[1]New Data'!A178,'[1]New Data'!A:Z,25,0)</f>
        <v>4</v>
      </c>
    </row>
    <row r="455" spans="1:14" hidden="1" x14ac:dyDescent="0.35">
      <c r="A455" s="2">
        <v>1570299</v>
      </c>
      <c r="B455" s="2">
        <v>83650</v>
      </c>
      <c r="C455" s="2" t="s">
        <v>477</v>
      </c>
      <c r="D455" s="2" t="s">
        <v>15</v>
      </c>
      <c r="E455" s="3">
        <f>VLOOKUP('[1]New Data'!A379,'[1]New Data'!A:H,8,0)</f>
        <v>46</v>
      </c>
      <c r="F455" s="3" t="str">
        <f>VLOOKUP('[1]New Data'!A379,'[1]New Data'!A:J,10,0)</f>
        <v>Male</v>
      </c>
      <c r="G455" s="3" t="str">
        <f>VLOOKUP('[1]New Data'!A379,'[1]New Data'!A:K,11,0)</f>
        <v>Low</v>
      </c>
      <c r="H455" s="4">
        <f>VLOOKUP('[1]New Data'!A379,'[1]New Data'!A:M,13,0)</f>
        <v>45095</v>
      </c>
      <c r="I455" s="5">
        <f>VLOOKUP('[1]New Data'!A379,'[1]New Data'!A:O,15,0)</f>
        <v>2</v>
      </c>
      <c r="J455" s="3">
        <f>VLOOKUP('[1]New Data'!A379,'[1]New Data'!A:P,16,0)</f>
        <v>90.655261240000002</v>
      </c>
      <c r="K455" s="3">
        <f>VLOOKUP('[1]New Data'!A379,'[1]New Data'!A:Q,17,0)</f>
        <v>181.31052249999999</v>
      </c>
      <c r="L455" s="3" t="str">
        <f>VLOOKUP('[1]New Data'!A455,'[1]New Data'!A:S,19,0)</f>
        <v>Clothing</v>
      </c>
      <c r="M455" s="3" t="str">
        <f>VLOOKUP('[1]New Data'!A455,'[1]New Data'!A:T,20,0)</f>
        <v>Jacket</v>
      </c>
      <c r="N455" s="5">
        <f>VLOOKUP('[1]New Data'!A379,'[1]New Data'!A:Z,25,0)</f>
        <v>1</v>
      </c>
    </row>
    <row r="456" spans="1:14" hidden="1" x14ac:dyDescent="0.35">
      <c r="A456" s="2">
        <v>7567107</v>
      </c>
      <c r="B456" s="2">
        <v>27353</v>
      </c>
      <c r="C456" s="2" t="s">
        <v>478</v>
      </c>
      <c r="D456" s="2" t="s">
        <v>15</v>
      </c>
      <c r="E456" s="3">
        <f>VLOOKUP('[1]New Data'!A128,'[1]New Data'!A:H,8,0)</f>
        <v>60</v>
      </c>
      <c r="F456" s="3" t="str">
        <f>VLOOKUP('[1]New Data'!A128,'[1]New Data'!A:J,10,0)</f>
        <v>Female</v>
      </c>
      <c r="G456" s="3" t="str">
        <f>VLOOKUP('[1]New Data'!A128,'[1]New Data'!A:K,11,0)</f>
        <v>Low</v>
      </c>
      <c r="H456" s="4">
        <f>VLOOKUP('[1]New Data'!A128,'[1]New Data'!A:M,13,0)</f>
        <v>45229</v>
      </c>
      <c r="I456" s="5">
        <f>VLOOKUP('[1]New Data'!A128,'[1]New Data'!A:O,15,0)</f>
        <v>1</v>
      </c>
      <c r="J456" s="3">
        <f>VLOOKUP('[1]New Data'!A128,'[1]New Data'!A:P,16,0)</f>
        <v>180.1567737</v>
      </c>
      <c r="K456" s="3">
        <f>VLOOKUP('[1]New Data'!A128,'[1]New Data'!A:Q,17,0)</f>
        <v>180.1567737</v>
      </c>
      <c r="L456" s="3" t="str">
        <f>VLOOKUP('[1]New Data'!A456,'[1]New Data'!A:S,19,0)</f>
        <v>Electronics</v>
      </c>
      <c r="M456" s="3" t="str">
        <f>VLOOKUP('[1]New Data'!A456,'[1]New Data'!A:T,20,0)</f>
        <v>Laptop</v>
      </c>
      <c r="N456" s="5">
        <f>VLOOKUP('[1]New Data'!A128,'[1]New Data'!A:Z,25,0)</f>
        <v>3</v>
      </c>
    </row>
    <row r="457" spans="1:14" hidden="1" x14ac:dyDescent="0.35">
      <c r="A457" s="2">
        <v>4138405</v>
      </c>
      <c r="B457" s="2">
        <v>77374</v>
      </c>
      <c r="C457" s="2" t="s">
        <v>479</v>
      </c>
      <c r="D457" s="2" t="s">
        <v>15</v>
      </c>
      <c r="E457" s="3">
        <f>VLOOKUP('[1]New Data'!A365,'[1]New Data'!A:H,8,0)</f>
        <v>23</v>
      </c>
      <c r="F457" s="3" t="str">
        <f>VLOOKUP('[1]New Data'!A365,'[1]New Data'!A:J,10,0)</f>
        <v>Female</v>
      </c>
      <c r="G457" s="3" t="str">
        <f>VLOOKUP('[1]New Data'!A365,'[1]New Data'!A:K,11,0)</f>
        <v>High</v>
      </c>
      <c r="H457" s="4">
        <f>VLOOKUP('[1]New Data'!A365,'[1]New Data'!A:M,13,0)</f>
        <v>45193</v>
      </c>
      <c r="I457" s="5">
        <f>VLOOKUP('[1]New Data'!A365,'[1]New Data'!A:O,15,0)</f>
        <v>1</v>
      </c>
      <c r="J457" s="3">
        <f>VLOOKUP('[1]New Data'!A365,'[1]New Data'!A:P,16,0)</f>
        <v>179.71356840000001</v>
      </c>
      <c r="K457" s="3">
        <f>VLOOKUP('[1]New Data'!A365,'[1]New Data'!A:Q,17,0)</f>
        <v>179.71356840000001</v>
      </c>
      <c r="L457" s="3" t="str">
        <f>VLOOKUP('[1]New Data'!A457,'[1]New Data'!A:S,19,0)</f>
        <v>Grocery</v>
      </c>
      <c r="M457" s="3" t="str">
        <f>VLOOKUP('[1]New Data'!A457,'[1]New Data'!A:T,20,0)</f>
        <v>Juice</v>
      </c>
      <c r="N457" s="5">
        <f>VLOOKUP('[1]New Data'!A365,'[1]New Data'!A:Z,25,0)</f>
        <v>4</v>
      </c>
    </row>
    <row r="458" spans="1:14" hidden="1" x14ac:dyDescent="0.35">
      <c r="A458" s="2">
        <v>4725198</v>
      </c>
      <c r="B458" s="2">
        <v>28381</v>
      </c>
      <c r="C458" s="2" t="s">
        <v>480</v>
      </c>
      <c r="D458" s="2" t="s">
        <v>15</v>
      </c>
      <c r="E458" s="3">
        <f>VLOOKUP('[1]New Data'!A28,'[1]New Data'!A:H,8,0)</f>
        <v>20</v>
      </c>
      <c r="F458" s="3" t="str">
        <f>VLOOKUP('[1]New Data'!A28,'[1]New Data'!A:J,10,0)</f>
        <v>Male</v>
      </c>
      <c r="G458" s="3" t="str">
        <f>VLOOKUP('[1]New Data'!A28,'[1]New Data'!A:K,11,0)</f>
        <v>High</v>
      </c>
      <c r="H458" s="4">
        <f>VLOOKUP('[1]New Data'!A28,'[1]New Data'!A:M,13,0)</f>
        <v>45080</v>
      </c>
      <c r="I458" s="5">
        <f>VLOOKUP('[1]New Data'!A28,'[1]New Data'!A:O,15,0)</f>
        <v>1</v>
      </c>
      <c r="J458" s="3">
        <f>VLOOKUP('[1]New Data'!A28,'[1]New Data'!A:P,16,0)</f>
        <v>173.57073790000001</v>
      </c>
      <c r="K458" s="3">
        <f>VLOOKUP('[1]New Data'!A28,'[1]New Data'!A:Q,17,0)</f>
        <v>173.57073790000001</v>
      </c>
      <c r="L458" s="3" t="str">
        <f>VLOOKUP('[1]New Data'!A458,'[1]New Data'!A:S,19,0)</f>
        <v>Books</v>
      </c>
      <c r="M458" s="3" t="str">
        <f>VLOOKUP('[1]New Data'!A458,'[1]New Data'!A:T,20,0)</f>
        <v>Fiction</v>
      </c>
      <c r="N458" s="5">
        <f>VLOOKUP('[1]New Data'!A28,'[1]New Data'!A:Z,25,0)</f>
        <v>3</v>
      </c>
    </row>
    <row r="459" spans="1:14" x14ac:dyDescent="0.35">
      <c r="A459" s="2">
        <v>6752816</v>
      </c>
      <c r="B459" s="2">
        <v>50126</v>
      </c>
      <c r="C459" s="2" t="s">
        <v>481</v>
      </c>
      <c r="D459" s="2" t="s">
        <v>15</v>
      </c>
      <c r="E459" s="3">
        <f>VLOOKUP('[1]New Data'!A114,'[1]New Data'!A:H,8,0)</f>
        <v>32</v>
      </c>
      <c r="F459" s="3" t="str">
        <f>VLOOKUP('[1]New Data'!A114,'[1]New Data'!A:J,10,0)</f>
        <v>Female</v>
      </c>
      <c r="G459" s="3" t="str">
        <f>VLOOKUP('[1]New Data'!A114,'[1]New Data'!A:K,11,0)</f>
        <v>Low</v>
      </c>
      <c r="H459" s="4">
        <f>VLOOKUP('[1]New Data'!A114,'[1]New Data'!A:M,13,0)</f>
        <v>45280</v>
      </c>
      <c r="I459" s="5">
        <f>VLOOKUP('[1]New Data'!A114,'[1]New Data'!A:O,15,0)</f>
        <v>1</v>
      </c>
      <c r="J459" s="3">
        <f>VLOOKUP('[1]New Data'!A114,'[1]New Data'!A:P,16,0)</f>
        <v>171.2626583</v>
      </c>
      <c r="K459" s="3">
        <f>VLOOKUP('[1]New Data'!A114,'[1]New Data'!A:Q,17,0)</f>
        <v>171.2626583</v>
      </c>
      <c r="L459" s="3" t="str">
        <f>VLOOKUP('[1]New Data'!A459,'[1]New Data'!A:S,19,0)</f>
        <v>Home Decor</v>
      </c>
      <c r="M459" s="3" t="str">
        <f>VLOOKUP('[1]New Data'!A459,'[1]New Data'!A:T,20,0)</f>
        <v>Furniture</v>
      </c>
      <c r="N459" s="5">
        <f>VLOOKUP('[1]New Data'!A114,'[1]New Data'!A:Z,25,0)</f>
        <v>1</v>
      </c>
    </row>
    <row r="460" spans="1:14" hidden="1" x14ac:dyDescent="0.35">
      <c r="A460" s="2">
        <v>1330153</v>
      </c>
      <c r="B460" s="2">
        <v>12267</v>
      </c>
      <c r="C460" s="2" t="s">
        <v>482</v>
      </c>
      <c r="D460" s="2" t="s">
        <v>15</v>
      </c>
      <c r="E460" s="3">
        <f>VLOOKUP('[1]New Data'!A472,'[1]New Data'!A:H,8,0)</f>
        <v>67</v>
      </c>
      <c r="F460" s="3" t="str">
        <f>VLOOKUP('[1]New Data'!A472,'[1]New Data'!A:J,10,0)</f>
        <v>Male</v>
      </c>
      <c r="G460" s="3" t="str">
        <f>VLOOKUP('[1]New Data'!A472,'[1]New Data'!A:K,11,0)</f>
        <v>High</v>
      </c>
      <c r="H460" s="4">
        <f>VLOOKUP('[1]New Data'!A472,'[1]New Data'!A:M,13,0)</f>
        <v>45306</v>
      </c>
      <c r="I460" s="5">
        <f>VLOOKUP('[1]New Data'!A472,'[1]New Data'!A:O,15,0)</f>
        <v>1</v>
      </c>
      <c r="J460" s="3">
        <f>VLOOKUP('[1]New Data'!A472,'[1]New Data'!A:P,16,0)</f>
        <v>162.86564390000001</v>
      </c>
      <c r="K460" s="3">
        <f>VLOOKUP('[1]New Data'!A472,'[1]New Data'!A:Q,17,0)</f>
        <v>162.86564390000001</v>
      </c>
      <c r="L460" s="3" t="str">
        <f>VLOOKUP('[1]New Data'!A460,'[1]New Data'!A:S,19,0)</f>
        <v>Grocery</v>
      </c>
      <c r="M460" s="3" t="str">
        <f>VLOOKUP('[1]New Data'!A460,'[1]New Data'!A:T,20,0)</f>
        <v>Coffee</v>
      </c>
      <c r="N460" s="5">
        <f>VLOOKUP('[1]New Data'!A472,'[1]New Data'!A:Z,25,0)</f>
        <v>1</v>
      </c>
    </row>
    <row r="461" spans="1:14" hidden="1" x14ac:dyDescent="0.35">
      <c r="A461" s="2">
        <v>9484842</v>
      </c>
      <c r="B461" s="2">
        <v>17558</v>
      </c>
      <c r="C461" s="2" t="s">
        <v>483</v>
      </c>
      <c r="D461" s="2" t="s">
        <v>15</v>
      </c>
      <c r="E461" s="3">
        <f>VLOOKUP('[1]New Data'!A262,'[1]New Data'!A:H,8,0)</f>
        <v>68</v>
      </c>
      <c r="F461" s="3" t="str">
        <f>VLOOKUP('[1]New Data'!A262,'[1]New Data'!A:J,10,0)</f>
        <v>Male</v>
      </c>
      <c r="G461" s="3" t="str">
        <f>VLOOKUP('[1]New Data'!A262,'[1]New Data'!A:K,11,0)</f>
        <v>Low</v>
      </c>
      <c r="H461" s="4">
        <f>VLOOKUP('[1]New Data'!A262,'[1]New Data'!A:M,13,0)</f>
        <v>45008</v>
      </c>
      <c r="I461" s="5">
        <f>VLOOKUP('[1]New Data'!A262,'[1]New Data'!A:O,15,0)</f>
        <v>8</v>
      </c>
      <c r="J461" s="3">
        <f>VLOOKUP('[1]New Data'!A262,'[1]New Data'!A:P,16,0)</f>
        <v>19.821976830000001</v>
      </c>
      <c r="K461" s="3">
        <f>VLOOKUP('[1]New Data'!A262,'[1]New Data'!A:Q,17,0)</f>
        <v>158.5758147</v>
      </c>
      <c r="L461" s="3" t="str">
        <f>VLOOKUP('[1]New Data'!A461,'[1]New Data'!A:S,19,0)</f>
        <v>Books</v>
      </c>
      <c r="M461" s="3" t="str">
        <f>VLOOKUP('[1]New Data'!A461,'[1]New Data'!A:T,20,0)</f>
        <v>Children's</v>
      </c>
      <c r="N461" s="5">
        <f>VLOOKUP('[1]New Data'!A262,'[1]New Data'!A:Z,25,0)</f>
        <v>4</v>
      </c>
    </row>
    <row r="462" spans="1:14" hidden="1" x14ac:dyDescent="0.35">
      <c r="A462" s="2">
        <v>8071729</v>
      </c>
      <c r="B462" s="2">
        <v>90796</v>
      </c>
      <c r="C462" s="2" t="s">
        <v>484</v>
      </c>
      <c r="D462" s="2" t="s">
        <v>15</v>
      </c>
      <c r="E462" s="3">
        <f>VLOOKUP('[1]New Data'!A437,'[1]New Data'!A:H,8,0)</f>
        <v>18</v>
      </c>
      <c r="F462" s="3" t="str">
        <f>VLOOKUP('[1]New Data'!A437,'[1]New Data'!A:J,10,0)</f>
        <v>Male</v>
      </c>
      <c r="G462" s="3" t="str">
        <f>VLOOKUP('[1]New Data'!A437,'[1]New Data'!A:K,11,0)</f>
        <v>Low</v>
      </c>
      <c r="H462" s="4">
        <f>VLOOKUP('[1]New Data'!A437,'[1]New Data'!A:M,13,0)</f>
        <v>45236</v>
      </c>
      <c r="I462" s="5">
        <f>VLOOKUP('[1]New Data'!A437,'[1]New Data'!A:O,15,0)</f>
        <v>1</v>
      </c>
      <c r="J462" s="3">
        <f>VLOOKUP('[1]New Data'!A437,'[1]New Data'!A:P,16,0)</f>
        <v>158.4289608</v>
      </c>
      <c r="K462" s="3">
        <f>VLOOKUP('[1]New Data'!A437,'[1]New Data'!A:Q,17,0)</f>
        <v>158.4289608</v>
      </c>
      <c r="L462" s="3" t="str">
        <f>VLOOKUP('[1]New Data'!A462,'[1]New Data'!A:S,19,0)</f>
        <v>Clothing</v>
      </c>
      <c r="M462" s="3" t="str">
        <f>VLOOKUP('[1]New Data'!A462,'[1]New Data'!A:T,20,0)</f>
        <v>Shoes</v>
      </c>
      <c r="N462" s="5">
        <f>VLOOKUP('[1]New Data'!A437,'[1]New Data'!A:Z,25,0)</f>
        <v>3</v>
      </c>
    </row>
    <row r="463" spans="1:14" hidden="1" x14ac:dyDescent="0.35">
      <c r="A463" s="2">
        <v>1238495</v>
      </c>
      <c r="B463" s="2">
        <v>28128</v>
      </c>
      <c r="C463" s="2" t="s">
        <v>485</v>
      </c>
      <c r="D463" s="2" t="s">
        <v>15</v>
      </c>
      <c r="E463" s="3">
        <f>VLOOKUP('[1]New Data'!A119,'[1]New Data'!A:H,8,0)</f>
        <v>65</v>
      </c>
      <c r="F463" s="3" t="str">
        <f>VLOOKUP('[1]New Data'!A119,'[1]New Data'!A:J,10,0)</f>
        <v>Male</v>
      </c>
      <c r="G463" s="3" t="str">
        <f>VLOOKUP('[1]New Data'!A119,'[1]New Data'!A:K,11,0)</f>
        <v>Low</v>
      </c>
      <c r="H463" s="4">
        <f>VLOOKUP('[1]New Data'!A119,'[1]New Data'!A:M,13,0)</f>
        <v>45345</v>
      </c>
      <c r="I463" s="5">
        <f>VLOOKUP('[1]New Data'!A119,'[1]New Data'!A:O,15,0)</f>
        <v>1</v>
      </c>
      <c r="J463" s="3">
        <f>VLOOKUP('[1]New Data'!A119,'[1]New Data'!A:P,16,0)</f>
        <v>155.88635819999999</v>
      </c>
      <c r="K463" s="3">
        <f>VLOOKUP('[1]New Data'!A119,'[1]New Data'!A:Q,17,0)</f>
        <v>155.88635819999999</v>
      </c>
      <c r="L463" s="3" t="str">
        <f>VLOOKUP('[1]New Data'!A463,'[1]New Data'!A:S,19,0)</f>
        <v>Grocery</v>
      </c>
      <c r="M463" s="3" t="str">
        <f>VLOOKUP('[1]New Data'!A463,'[1]New Data'!A:T,20,0)</f>
        <v>Water</v>
      </c>
      <c r="N463" s="5">
        <f>VLOOKUP('[1]New Data'!A119,'[1]New Data'!A:Z,25,0)</f>
        <v>4</v>
      </c>
    </row>
    <row r="464" spans="1:14" hidden="1" x14ac:dyDescent="0.35">
      <c r="A464" s="2">
        <v>6516806</v>
      </c>
      <c r="B464" s="2">
        <v>27104</v>
      </c>
      <c r="C464" s="2" t="s">
        <v>486</v>
      </c>
      <c r="D464" s="2" t="s">
        <v>15</v>
      </c>
      <c r="E464" s="3">
        <f>VLOOKUP('[1]New Data'!A393,'[1]New Data'!A:H,8,0)</f>
        <v>19</v>
      </c>
      <c r="F464" s="3" t="str">
        <f>VLOOKUP('[1]New Data'!A393,'[1]New Data'!A:J,10,0)</f>
        <v>Female</v>
      </c>
      <c r="G464" s="3" t="str">
        <f>VLOOKUP('[1]New Data'!A393,'[1]New Data'!A:K,11,0)</f>
        <v>Low</v>
      </c>
      <c r="H464" s="4">
        <f>VLOOKUP('[1]New Data'!A393,'[1]New Data'!A:M,13,0)</f>
        <v>44996</v>
      </c>
      <c r="I464" s="5">
        <f>VLOOKUP('[1]New Data'!A393,'[1]New Data'!A:O,15,0)</f>
        <v>2</v>
      </c>
      <c r="J464" s="3">
        <f>VLOOKUP('[1]New Data'!A393,'[1]New Data'!A:P,16,0)</f>
        <v>76.443200279999999</v>
      </c>
      <c r="K464" s="3">
        <f>VLOOKUP('[1]New Data'!A393,'[1]New Data'!A:Q,17,0)</f>
        <v>152.8864006</v>
      </c>
      <c r="L464" s="3" t="str">
        <f>VLOOKUP('[1]New Data'!A464,'[1]New Data'!A:S,19,0)</f>
        <v>Grocery</v>
      </c>
      <c r="M464" s="3" t="str">
        <f>VLOOKUP('[1]New Data'!A464,'[1]New Data'!A:T,20,0)</f>
        <v>Juice</v>
      </c>
      <c r="N464" s="5">
        <f>VLOOKUP('[1]New Data'!A393,'[1]New Data'!A:Z,25,0)</f>
        <v>4</v>
      </c>
    </row>
    <row r="465" spans="1:14" hidden="1" x14ac:dyDescent="0.35">
      <c r="A465" s="2">
        <v>6923123</v>
      </c>
      <c r="B465" s="2">
        <v>40667</v>
      </c>
      <c r="C465" s="2" t="s">
        <v>487</v>
      </c>
      <c r="D465" s="2" t="s">
        <v>15</v>
      </c>
      <c r="E465" s="3">
        <f>VLOOKUP('[1]New Data'!A146,'[1]New Data'!A:H,8,0)</f>
        <v>66</v>
      </c>
      <c r="F465" s="3" t="str">
        <f>VLOOKUP('[1]New Data'!A146,'[1]New Data'!A:J,10,0)</f>
        <v>Male</v>
      </c>
      <c r="G465" s="3" t="str">
        <f>VLOOKUP('[1]New Data'!A146,'[1]New Data'!A:K,11,0)</f>
        <v>Medium</v>
      </c>
      <c r="H465" s="4">
        <f>VLOOKUP('[1]New Data'!A146,'[1]New Data'!A:M,13,0)</f>
        <v>45145</v>
      </c>
      <c r="I465" s="5">
        <f>VLOOKUP('[1]New Data'!A146,'[1]New Data'!A:O,15,0)</f>
        <v>3</v>
      </c>
      <c r="J465" s="3">
        <f>VLOOKUP('[1]New Data'!A146,'[1]New Data'!A:P,16,0)</f>
        <v>49.25146702</v>
      </c>
      <c r="K465" s="3">
        <f>VLOOKUP('[1]New Data'!A146,'[1]New Data'!A:Q,17,0)</f>
        <v>147.7544011</v>
      </c>
      <c r="L465" s="3" t="str">
        <f>VLOOKUP('[1]New Data'!A465,'[1]New Data'!A:S,19,0)</f>
        <v>Grocery</v>
      </c>
      <c r="M465" s="3" t="str">
        <f>VLOOKUP('[1]New Data'!A465,'[1]New Data'!A:T,20,0)</f>
        <v>Soft Drink</v>
      </c>
      <c r="N465" s="5">
        <f>VLOOKUP('[1]New Data'!A146,'[1]New Data'!A:Z,25,0)</f>
        <v>2</v>
      </c>
    </row>
    <row r="466" spans="1:14" hidden="1" x14ac:dyDescent="0.35">
      <c r="A466" s="2">
        <v>6681000</v>
      </c>
      <c r="B466" s="2">
        <v>69939</v>
      </c>
      <c r="C466" s="2" t="s">
        <v>488</v>
      </c>
      <c r="D466" s="2" t="s">
        <v>15</v>
      </c>
      <c r="E466" s="3">
        <f>VLOOKUP('[1]New Data'!A18,'[1]New Data'!A:H,8,0)</f>
        <v>69</v>
      </c>
      <c r="F466" s="3" t="str">
        <f>VLOOKUP('[1]New Data'!A18,'[1]New Data'!A:J,10,0)</f>
        <v>Male</v>
      </c>
      <c r="G466" s="3" t="str">
        <f>VLOOKUP('[1]New Data'!A18,'[1]New Data'!A:K,11,0)</f>
        <v>Low</v>
      </c>
      <c r="H466" s="4">
        <f>VLOOKUP('[1]New Data'!A18,'[1]New Data'!A:M,13,0)</f>
        <v>45108</v>
      </c>
      <c r="I466" s="5">
        <f>VLOOKUP('[1]New Data'!A18,'[1]New Data'!A:O,15,0)</f>
        <v>10</v>
      </c>
      <c r="J466" s="3">
        <f>VLOOKUP('[1]New Data'!A18,'[1]New Data'!A:P,16,0)</f>
        <v>14.72716425</v>
      </c>
      <c r="K466" s="3">
        <f>VLOOKUP('[1]New Data'!A18,'[1]New Data'!A:Q,17,0)</f>
        <v>147.27164250000001</v>
      </c>
      <c r="L466" s="3" t="str">
        <f>VLOOKUP('[1]New Data'!A466,'[1]New Data'!A:S,19,0)</f>
        <v>Books</v>
      </c>
      <c r="M466" s="3" t="str">
        <f>VLOOKUP('[1]New Data'!A466,'[1]New Data'!A:T,20,0)</f>
        <v>Children's</v>
      </c>
      <c r="N466" s="5">
        <f>VLOOKUP('[1]New Data'!A18,'[1]New Data'!A:Z,25,0)</f>
        <v>2</v>
      </c>
    </row>
    <row r="467" spans="1:14" hidden="1" x14ac:dyDescent="0.35">
      <c r="A467" s="2">
        <v>9858337</v>
      </c>
      <c r="B467" s="2">
        <v>29333</v>
      </c>
      <c r="C467" s="2" t="s">
        <v>489</v>
      </c>
      <c r="D467" s="2" t="s">
        <v>15</v>
      </c>
      <c r="E467" s="3">
        <f>VLOOKUP('[1]New Data'!A241,'[1]New Data'!A:H,8,0)</f>
        <v>70</v>
      </c>
      <c r="F467" s="3" t="str">
        <f>VLOOKUP('[1]New Data'!A241,'[1]New Data'!A:J,10,0)</f>
        <v>Male</v>
      </c>
      <c r="G467" s="3" t="str">
        <f>VLOOKUP('[1]New Data'!A241,'[1]New Data'!A:K,11,0)</f>
        <v>Low</v>
      </c>
      <c r="H467" s="4">
        <f>VLOOKUP('[1]New Data'!A241,'[1]New Data'!A:M,13,0)</f>
        <v>45041</v>
      </c>
      <c r="I467" s="5">
        <f>VLOOKUP('[1]New Data'!A241,'[1]New Data'!A:O,15,0)</f>
        <v>1</v>
      </c>
      <c r="J467" s="3">
        <f>VLOOKUP('[1]New Data'!A241,'[1]New Data'!A:P,16,0)</f>
        <v>147.15828680000001</v>
      </c>
      <c r="K467" s="3">
        <f>VLOOKUP('[1]New Data'!A241,'[1]New Data'!A:Q,17,0)</f>
        <v>147.15828680000001</v>
      </c>
      <c r="L467" s="3" t="str">
        <f>VLOOKUP('[1]New Data'!A467,'[1]New Data'!A:S,19,0)</f>
        <v>Electronics</v>
      </c>
      <c r="M467" s="3" t="str">
        <f>VLOOKUP('[1]New Data'!A467,'[1]New Data'!A:T,20,0)</f>
        <v>Television</v>
      </c>
      <c r="N467" s="5">
        <f>VLOOKUP('[1]New Data'!A241,'[1]New Data'!A:Z,25,0)</f>
        <v>3</v>
      </c>
    </row>
    <row r="468" spans="1:14" hidden="1" x14ac:dyDescent="0.35">
      <c r="A468" s="2">
        <v>4578976</v>
      </c>
      <c r="B468" s="2">
        <v>13610</v>
      </c>
      <c r="C468" s="2" t="s">
        <v>490</v>
      </c>
      <c r="D468" s="2" t="s">
        <v>15</v>
      </c>
      <c r="E468" s="3">
        <f>VLOOKUP('[1]New Data'!A322,'[1]New Data'!A:H,8,0)</f>
        <v>61</v>
      </c>
      <c r="F468" s="3" t="str">
        <f>VLOOKUP('[1]New Data'!A322,'[1]New Data'!A:J,10,0)</f>
        <v>Male</v>
      </c>
      <c r="G468" s="3" t="str">
        <f>VLOOKUP('[1]New Data'!A322,'[1]New Data'!A:K,11,0)</f>
        <v>Low</v>
      </c>
      <c r="H468" s="4">
        <f>VLOOKUP('[1]New Data'!A322,'[1]New Data'!A:M,13,0)</f>
        <v>45045</v>
      </c>
      <c r="I468" s="5">
        <f>VLOOKUP('[1]New Data'!A322,'[1]New Data'!A:O,15,0)</f>
        <v>1</v>
      </c>
      <c r="J468" s="3">
        <f>VLOOKUP('[1]New Data'!A322,'[1]New Data'!A:P,16,0)</f>
        <v>145.05461199999999</v>
      </c>
      <c r="K468" s="3">
        <f>VLOOKUP('[1]New Data'!A322,'[1]New Data'!A:Q,17,0)</f>
        <v>145.05461199999999</v>
      </c>
      <c r="L468" s="3" t="str">
        <f>VLOOKUP('[1]New Data'!A468,'[1]New Data'!A:S,19,0)</f>
        <v>Electronics</v>
      </c>
      <c r="M468" s="3" t="str">
        <f>VLOOKUP('[1]New Data'!A468,'[1]New Data'!A:T,20,0)</f>
        <v>Tablet</v>
      </c>
      <c r="N468" s="5">
        <f>VLOOKUP('[1]New Data'!A322,'[1]New Data'!A:Z,25,0)</f>
        <v>3</v>
      </c>
    </row>
    <row r="469" spans="1:14" x14ac:dyDescent="0.35">
      <c r="A469" s="2">
        <v>8209743</v>
      </c>
      <c r="B469" s="2">
        <v>16615</v>
      </c>
      <c r="C469" s="2" t="s">
        <v>491</v>
      </c>
      <c r="D469" s="2" t="s">
        <v>15</v>
      </c>
      <c r="E469" s="3">
        <f>VLOOKUP('[1]New Data'!A294,'[1]New Data'!A:H,8,0)</f>
        <v>41</v>
      </c>
      <c r="F469" s="3" t="str">
        <f>VLOOKUP('[1]New Data'!A294,'[1]New Data'!A:J,10,0)</f>
        <v>Male</v>
      </c>
      <c r="G469" s="3" t="str">
        <f>VLOOKUP('[1]New Data'!A294,'[1]New Data'!A:K,11,0)</f>
        <v>High</v>
      </c>
      <c r="H469" s="4">
        <f>VLOOKUP('[1]New Data'!A294,'[1]New Data'!A:M,13,0)</f>
        <v>45176</v>
      </c>
      <c r="I469" s="5">
        <f>VLOOKUP('[1]New Data'!A294,'[1]New Data'!A:O,15,0)</f>
        <v>6</v>
      </c>
      <c r="J469" s="3">
        <f>VLOOKUP('[1]New Data'!A294,'[1]New Data'!A:P,16,0)</f>
        <v>22.74176786</v>
      </c>
      <c r="K469" s="3">
        <f>VLOOKUP('[1]New Data'!A294,'[1]New Data'!A:Q,17,0)</f>
        <v>136.45060710000001</v>
      </c>
      <c r="L469" s="3" t="str">
        <f>VLOOKUP('[1]New Data'!A469,'[1]New Data'!A:S,19,0)</f>
        <v>Home Decor</v>
      </c>
      <c r="M469" s="3" t="str">
        <f>VLOOKUP('[1]New Data'!A469,'[1]New Data'!A:T,20,0)</f>
        <v>Furniture</v>
      </c>
      <c r="N469" s="5">
        <f>VLOOKUP('[1]New Data'!A294,'[1]New Data'!A:Z,25,0)</f>
        <v>3</v>
      </c>
    </row>
    <row r="470" spans="1:14" hidden="1" x14ac:dyDescent="0.35">
      <c r="A470" s="2">
        <v>8215539</v>
      </c>
      <c r="B470" s="2">
        <v>22107</v>
      </c>
      <c r="C470" s="2" t="s">
        <v>492</v>
      </c>
      <c r="D470" s="2" t="s">
        <v>15</v>
      </c>
      <c r="E470" s="3">
        <f>VLOOKUP('[1]New Data'!A435,'[1]New Data'!A:H,8,0)</f>
        <v>50</v>
      </c>
      <c r="F470" s="3" t="str">
        <f>VLOOKUP('[1]New Data'!A435,'[1]New Data'!A:J,10,0)</f>
        <v>Female</v>
      </c>
      <c r="G470" s="3" t="str">
        <f>VLOOKUP('[1]New Data'!A435,'[1]New Data'!A:K,11,0)</f>
        <v>High</v>
      </c>
      <c r="H470" s="4">
        <f>VLOOKUP('[1]New Data'!A435,'[1]New Data'!A:M,13,0)</f>
        <v>45059</v>
      </c>
      <c r="I470" s="5">
        <f>VLOOKUP('[1]New Data'!A435,'[1]New Data'!A:O,15,0)</f>
        <v>5</v>
      </c>
      <c r="J470" s="3">
        <f>VLOOKUP('[1]New Data'!A435,'[1]New Data'!A:P,16,0)</f>
        <v>27.24352562</v>
      </c>
      <c r="K470" s="3">
        <f>VLOOKUP('[1]New Data'!A435,'[1]New Data'!A:Q,17,0)</f>
        <v>136.21762810000001</v>
      </c>
      <c r="L470" s="3" t="str">
        <f>VLOOKUP('[1]New Data'!A470,'[1]New Data'!A:S,19,0)</f>
        <v>Clothing</v>
      </c>
      <c r="M470" s="3" t="str">
        <f>VLOOKUP('[1]New Data'!A470,'[1]New Data'!A:T,20,0)</f>
        <v>T-shirt</v>
      </c>
      <c r="N470" s="5">
        <f>VLOOKUP('[1]New Data'!A435,'[1]New Data'!A:Z,25,0)</f>
        <v>1</v>
      </c>
    </row>
    <row r="471" spans="1:14" hidden="1" x14ac:dyDescent="0.35">
      <c r="A471" s="2">
        <v>9889304</v>
      </c>
      <c r="B471" s="2">
        <v>72463</v>
      </c>
      <c r="C471" s="2" t="s">
        <v>493</v>
      </c>
      <c r="D471" s="2" t="s">
        <v>15</v>
      </c>
      <c r="E471" s="3">
        <f>VLOOKUP('[1]New Data'!A438,'[1]New Data'!A:H,8,0)</f>
        <v>31</v>
      </c>
      <c r="F471" s="3" t="str">
        <f>VLOOKUP('[1]New Data'!A438,'[1]New Data'!A:J,10,0)</f>
        <v>Male</v>
      </c>
      <c r="G471" s="3" t="str">
        <f>VLOOKUP('[1]New Data'!A438,'[1]New Data'!A:K,11,0)</f>
        <v>Low</v>
      </c>
      <c r="H471" s="4">
        <f>VLOOKUP('[1]New Data'!A438,'[1]New Data'!A:M,13,0)</f>
        <v>44999</v>
      </c>
      <c r="I471" s="5">
        <f>VLOOKUP('[1]New Data'!A438,'[1]New Data'!A:O,15,0)</f>
        <v>8</v>
      </c>
      <c r="J471" s="3">
        <f>VLOOKUP('[1]New Data'!A438,'[1]New Data'!A:P,16,0)</f>
        <v>16.977070560000001</v>
      </c>
      <c r="K471" s="3">
        <f>VLOOKUP('[1]New Data'!A438,'[1]New Data'!A:Q,17,0)</f>
        <v>135.8165645</v>
      </c>
      <c r="L471" s="3" t="str">
        <f>VLOOKUP('[1]New Data'!A471,'[1]New Data'!A:S,19,0)</f>
        <v>Books</v>
      </c>
      <c r="M471" s="3" t="str">
        <f>VLOOKUP('[1]New Data'!A471,'[1]New Data'!A:T,20,0)</f>
        <v>Thriller</v>
      </c>
      <c r="N471" s="5">
        <f>VLOOKUP('[1]New Data'!A438,'[1]New Data'!A:Z,25,0)</f>
        <v>1</v>
      </c>
    </row>
    <row r="472" spans="1:14" x14ac:dyDescent="0.35">
      <c r="A472" s="2">
        <v>3356175</v>
      </c>
      <c r="B472" s="2">
        <v>65112</v>
      </c>
      <c r="C472" s="2" t="s">
        <v>494</v>
      </c>
      <c r="D472" s="2" t="s">
        <v>15</v>
      </c>
      <c r="E472" s="3">
        <f>VLOOKUP('[1]New Data'!A454,'[1]New Data'!A:H,8,0)</f>
        <v>53</v>
      </c>
      <c r="F472" s="3" t="str">
        <f>VLOOKUP('[1]New Data'!A454,'[1]New Data'!A:J,10,0)</f>
        <v>Male</v>
      </c>
      <c r="G472" s="3" t="str">
        <f>VLOOKUP('[1]New Data'!A454,'[1]New Data'!A:K,11,0)</f>
        <v>High</v>
      </c>
      <c r="H472" s="4">
        <f>VLOOKUP('[1]New Data'!A454,'[1]New Data'!A:M,13,0)</f>
        <v>45181</v>
      </c>
      <c r="I472" s="5">
        <f>VLOOKUP('[1]New Data'!A454,'[1]New Data'!A:O,15,0)</f>
        <v>1</v>
      </c>
      <c r="J472" s="3">
        <f>VLOOKUP('[1]New Data'!A454,'[1]New Data'!A:P,16,0)</f>
        <v>135.41360800000001</v>
      </c>
      <c r="K472" s="3">
        <f>VLOOKUP('[1]New Data'!A454,'[1]New Data'!A:Q,17,0)</f>
        <v>135.41360800000001</v>
      </c>
      <c r="L472" s="3" t="str">
        <f>VLOOKUP('[1]New Data'!A472,'[1]New Data'!A:S,19,0)</f>
        <v>Home Decor</v>
      </c>
      <c r="M472" s="3" t="str">
        <f>VLOOKUP('[1]New Data'!A472,'[1]New Data'!A:T,20,0)</f>
        <v>Bedding</v>
      </c>
      <c r="N472" s="5">
        <f>VLOOKUP('[1]New Data'!A454,'[1]New Data'!A:Z,25,0)</f>
        <v>4</v>
      </c>
    </row>
    <row r="473" spans="1:14" hidden="1" x14ac:dyDescent="0.35">
      <c r="A473" s="2">
        <v>2053971</v>
      </c>
      <c r="B473" s="2">
        <v>84475</v>
      </c>
      <c r="C473" s="2" t="s">
        <v>495</v>
      </c>
      <c r="D473" s="2" t="s">
        <v>15</v>
      </c>
      <c r="E473" s="3">
        <f>VLOOKUP('[1]New Data'!A225,'[1]New Data'!A:H,8,0)</f>
        <v>59</v>
      </c>
      <c r="F473" s="3" t="str">
        <f>VLOOKUP('[1]New Data'!A225,'[1]New Data'!A:J,10,0)</f>
        <v>Female</v>
      </c>
      <c r="G473" s="3" t="str">
        <f>VLOOKUP('[1]New Data'!A225,'[1]New Data'!A:K,11,0)</f>
        <v>Medium</v>
      </c>
      <c r="H473" s="4">
        <f>VLOOKUP('[1]New Data'!A225,'[1]New Data'!A:M,13,0)</f>
        <v>45278</v>
      </c>
      <c r="I473" s="5">
        <f>VLOOKUP('[1]New Data'!A225,'[1]New Data'!A:O,15,0)</f>
        <v>10</v>
      </c>
      <c r="J473" s="3">
        <f>VLOOKUP('[1]New Data'!A225,'[1]New Data'!A:P,16,0)</f>
        <v>13.497794649999999</v>
      </c>
      <c r="K473" s="3">
        <f>VLOOKUP('[1]New Data'!A225,'[1]New Data'!A:Q,17,0)</f>
        <v>134.9779465</v>
      </c>
      <c r="L473" s="3" t="str">
        <f>VLOOKUP('[1]New Data'!A473,'[1]New Data'!A:S,19,0)</f>
        <v>Clothing</v>
      </c>
      <c r="M473" s="3" t="str">
        <f>VLOOKUP('[1]New Data'!A473,'[1]New Data'!A:T,20,0)</f>
        <v>T-shirt</v>
      </c>
      <c r="N473" s="5">
        <f>VLOOKUP('[1]New Data'!A225,'[1]New Data'!A:Z,25,0)</f>
        <v>1</v>
      </c>
    </row>
    <row r="474" spans="1:14" hidden="1" x14ac:dyDescent="0.35">
      <c r="A474" s="2">
        <v>2306788</v>
      </c>
      <c r="B474" s="2">
        <v>87457</v>
      </c>
      <c r="C474" s="2" t="s">
        <v>496</v>
      </c>
      <c r="D474" s="2" t="s">
        <v>15</v>
      </c>
      <c r="E474" s="3">
        <f>VLOOKUP('[1]New Data'!A501,'[1]New Data'!A:H,8,0)</f>
        <v>22</v>
      </c>
      <c r="F474" s="3" t="str">
        <f>VLOOKUP('[1]New Data'!A501,'[1]New Data'!A:J,10,0)</f>
        <v>Male</v>
      </c>
      <c r="G474" s="3" t="str">
        <f>VLOOKUP('[1]New Data'!A501,'[1]New Data'!A:K,11,0)</f>
        <v>High</v>
      </c>
      <c r="H474" s="4">
        <f>VLOOKUP('[1]New Data'!A501,'[1]New Data'!A:M,13,0)</f>
        <v>45012</v>
      </c>
      <c r="I474" s="5">
        <f>VLOOKUP('[1]New Data'!A501,'[1]New Data'!A:O,15,0)</f>
        <v>1</v>
      </c>
      <c r="J474" s="3">
        <f>VLOOKUP('[1]New Data'!A501,'[1]New Data'!A:P,16,0)</f>
        <v>132.86981130000001</v>
      </c>
      <c r="K474" s="3">
        <f>VLOOKUP('[1]New Data'!A501,'[1]New Data'!A:Q,17,0)</f>
        <v>132.86981130000001</v>
      </c>
      <c r="L474" s="3" t="str">
        <f>VLOOKUP('[1]New Data'!A474,'[1]New Data'!A:S,19,0)</f>
        <v>Electronics</v>
      </c>
      <c r="M474" s="3" t="str">
        <f>VLOOKUP('[1]New Data'!A474,'[1]New Data'!A:T,20,0)</f>
        <v>Smartphone</v>
      </c>
      <c r="N474" s="5">
        <f>VLOOKUP('[1]New Data'!A501,'[1]New Data'!A:Z,25,0)</f>
        <v>4</v>
      </c>
    </row>
    <row r="475" spans="1:14" hidden="1" x14ac:dyDescent="0.35">
      <c r="A475" s="2">
        <v>7685751</v>
      </c>
      <c r="B475" s="2">
        <v>89187</v>
      </c>
      <c r="C475" s="2" t="s">
        <v>497</v>
      </c>
      <c r="D475" s="2" t="s">
        <v>15</v>
      </c>
      <c r="E475" s="3">
        <f>VLOOKUP('[1]New Data'!A272,'[1]New Data'!A:H,8,0)</f>
        <v>28</v>
      </c>
      <c r="F475" s="3" t="str">
        <f>VLOOKUP('[1]New Data'!A272,'[1]New Data'!A:J,10,0)</f>
        <v>Male</v>
      </c>
      <c r="G475" s="3" t="str">
        <f>VLOOKUP('[1]New Data'!A272,'[1]New Data'!A:K,11,0)</f>
        <v>Medium</v>
      </c>
      <c r="H475" s="4">
        <f>VLOOKUP('[1]New Data'!A272,'[1]New Data'!A:M,13,0)</f>
        <v>45199</v>
      </c>
      <c r="I475" s="5">
        <f>VLOOKUP('[1]New Data'!A272,'[1]New Data'!A:O,15,0)</f>
        <v>3</v>
      </c>
      <c r="J475" s="3">
        <f>VLOOKUP('[1]New Data'!A272,'[1]New Data'!A:P,16,0)</f>
        <v>43.07109758</v>
      </c>
      <c r="K475" s="3">
        <f>VLOOKUP('[1]New Data'!A272,'[1]New Data'!A:Q,17,0)</f>
        <v>129.21329270000001</v>
      </c>
      <c r="L475" s="3" t="str">
        <f>VLOOKUP('[1]New Data'!A475,'[1]New Data'!A:S,19,0)</f>
        <v>Grocery</v>
      </c>
      <c r="M475" s="3" t="str">
        <f>VLOOKUP('[1]New Data'!A475,'[1]New Data'!A:T,20,0)</f>
        <v>Juice</v>
      </c>
      <c r="N475" s="5">
        <f>VLOOKUP('[1]New Data'!A272,'[1]New Data'!A:Z,25,0)</f>
        <v>2</v>
      </c>
    </row>
    <row r="476" spans="1:14" hidden="1" x14ac:dyDescent="0.35">
      <c r="A476" s="2">
        <v>4237878</v>
      </c>
      <c r="B476" s="2">
        <v>11577</v>
      </c>
      <c r="C476" s="2" t="s">
        <v>498</v>
      </c>
      <c r="D476" s="2" t="s">
        <v>15</v>
      </c>
      <c r="E476" s="3">
        <f>VLOOKUP('[1]New Data'!A244,'[1]New Data'!A:H,8,0)</f>
        <v>63</v>
      </c>
      <c r="F476" s="3" t="str">
        <f>VLOOKUP('[1]New Data'!A244,'[1]New Data'!A:J,10,0)</f>
        <v>Female</v>
      </c>
      <c r="G476" s="3" t="str">
        <f>VLOOKUP('[1]New Data'!A244,'[1]New Data'!A:K,11,0)</f>
        <v>High</v>
      </c>
      <c r="H476" s="4">
        <f>VLOOKUP('[1]New Data'!A244,'[1]New Data'!A:M,13,0)</f>
        <v>45122</v>
      </c>
      <c r="I476" s="5">
        <f>VLOOKUP('[1]New Data'!A244,'[1]New Data'!A:O,15,0)</f>
        <v>3</v>
      </c>
      <c r="J476" s="3">
        <f>VLOOKUP('[1]New Data'!A244,'[1]New Data'!A:P,16,0)</f>
        <v>41.445077390000002</v>
      </c>
      <c r="K476" s="3">
        <f>VLOOKUP('[1]New Data'!A244,'[1]New Data'!A:Q,17,0)</f>
        <v>124.33523219999999</v>
      </c>
      <c r="L476" s="3" t="str">
        <f>VLOOKUP('[1]New Data'!A476,'[1]New Data'!A:S,19,0)</f>
        <v>Grocery</v>
      </c>
      <c r="M476" s="3" t="str">
        <f>VLOOKUP('[1]New Data'!A476,'[1]New Data'!A:T,20,0)</f>
        <v>Soft Drink</v>
      </c>
      <c r="N476" s="5">
        <f>VLOOKUP('[1]New Data'!A244,'[1]New Data'!A:Z,25,0)</f>
        <v>4</v>
      </c>
    </row>
    <row r="477" spans="1:14" hidden="1" x14ac:dyDescent="0.35">
      <c r="A477" s="2">
        <v>1147112</v>
      </c>
      <c r="B477" s="2">
        <v>20692</v>
      </c>
      <c r="C477" s="2" t="s">
        <v>499</v>
      </c>
      <c r="D477" s="2" t="s">
        <v>15</v>
      </c>
      <c r="E477" s="3">
        <f>VLOOKUP('[1]New Data'!A461,'[1]New Data'!A:H,8,0)</f>
        <v>35</v>
      </c>
      <c r="F477" s="3" t="str">
        <f>VLOOKUP('[1]New Data'!A461,'[1]New Data'!A:J,10,0)</f>
        <v>Male</v>
      </c>
      <c r="G477" s="3" t="str">
        <f>VLOOKUP('[1]New Data'!A461,'[1]New Data'!A:K,11,0)</f>
        <v>Low</v>
      </c>
      <c r="H477" s="4">
        <f>VLOOKUP('[1]New Data'!A461,'[1]New Data'!A:M,13,0)</f>
        <v>45119</v>
      </c>
      <c r="I477" s="5">
        <f>VLOOKUP('[1]New Data'!A461,'[1]New Data'!A:O,15,0)</f>
        <v>1</v>
      </c>
      <c r="J477" s="3">
        <f>VLOOKUP('[1]New Data'!A461,'[1]New Data'!A:P,16,0)</f>
        <v>118.5741697</v>
      </c>
      <c r="K477" s="3">
        <f>VLOOKUP('[1]New Data'!A461,'[1]New Data'!A:Q,17,0)</f>
        <v>118.5741697</v>
      </c>
      <c r="L477" s="3" t="str">
        <f>VLOOKUP('[1]New Data'!A477,'[1]New Data'!A:S,19,0)</f>
        <v>Grocery</v>
      </c>
      <c r="M477" s="3" t="str">
        <f>VLOOKUP('[1]New Data'!A477,'[1]New Data'!A:T,20,0)</f>
        <v>Water</v>
      </c>
      <c r="N477" s="5">
        <f>VLOOKUP('[1]New Data'!A461,'[1]New Data'!A:Z,25,0)</f>
        <v>1</v>
      </c>
    </row>
    <row r="478" spans="1:14" x14ac:dyDescent="0.35">
      <c r="A478" s="2">
        <v>3111772</v>
      </c>
      <c r="B478" s="2">
        <v>11288</v>
      </c>
      <c r="C478" s="2" t="s">
        <v>500</v>
      </c>
      <c r="D478" s="2" t="s">
        <v>15</v>
      </c>
      <c r="E478" s="3">
        <f>VLOOKUP('[1]New Data'!A204,'[1]New Data'!A:H,8,0)</f>
        <v>65</v>
      </c>
      <c r="F478" s="3" t="str">
        <f>VLOOKUP('[1]New Data'!A204,'[1]New Data'!A:J,10,0)</f>
        <v>Female</v>
      </c>
      <c r="G478" s="3" t="str">
        <f>VLOOKUP('[1]New Data'!A204,'[1]New Data'!A:K,11,0)</f>
        <v>Medium</v>
      </c>
      <c r="H478" s="4">
        <f>VLOOKUP('[1]New Data'!A204,'[1]New Data'!A:M,13,0)</f>
        <v>44999</v>
      </c>
      <c r="I478" s="5">
        <f>VLOOKUP('[1]New Data'!A204,'[1]New Data'!A:O,15,0)</f>
        <v>1</v>
      </c>
      <c r="J478" s="3">
        <f>VLOOKUP('[1]New Data'!A204,'[1]New Data'!A:P,16,0)</f>
        <v>117.0364627</v>
      </c>
      <c r="K478" s="3">
        <f>VLOOKUP('[1]New Data'!A204,'[1]New Data'!A:Q,17,0)</f>
        <v>117.0364627</v>
      </c>
      <c r="L478" s="3" t="str">
        <f>VLOOKUP('[1]New Data'!A478,'[1]New Data'!A:S,19,0)</f>
        <v>Home Decor</v>
      </c>
      <c r="M478" s="3" t="str">
        <f>VLOOKUP('[1]New Data'!A478,'[1]New Data'!A:T,20,0)</f>
        <v>Furniture</v>
      </c>
      <c r="N478" s="5">
        <f>VLOOKUP('[1]New Data'!A204,'[1]New Data'!A:Z,25,0)</f>
        <v>3</v>
      </c>
    </row>
    <row r="479" spans="1:14" hidden="1" x14ac:dyDescent="0.35">
      <c r="A479" s="2">
        <v>7629030</v>
      </c>
      <c r="B479" s="2">
        <v>67942</v>
      </c>
      <c r="C479" s="2" t="s">
        <v>501</v>
      </c>
      <c r="D479" s="2" t="s">
        <v>15</v>
      </c>
      <c r="E479" s="3">
        <f>VLOOKUP('[1]New Data'!A213,'[1]New Data'!A:H,8,0)</f>
        <v>36</v>
      </c>
      <c r="F479" s="3" t="str">
        <f>VLOOKUP('[1]New Data'!A213,'[1]New Data'!A:J,10,0)</f>
        <v>Male</v>
      </c>
      <c r="G479" s="3" t="str">
        <f>VLOOKUP('[1]New Data'!A213,'[1]New Data'!A:K,11,0)</f>
        <v>Low</v>
      </c>
      <c r="H479" s="4">
        <f>VLOOKUP('[1]New Data'!A213,'[1]New Data'!A:M,13,0)</f>
        <v>45080</v>
      </c>
      <c r="I479" s="5">
        <f>VLOOKUP('[1]New Data'!A213,'[1]New Data'!A:O,15,0)</f>
        <v>2</v>
      </c>
      <c r="J479" s="3">
        <f>VLOOKUP('[1]New Data'!A213,'[1]New Data'!A:P,16,0)</f>
        <v>56.391011589999998</v>
      </c>
      <c r="K479" s="3">
        <f>VLOOKUP('[1]New Data'!A213,'[1]New Data'!A:Q,17,0)</f>
        <v>112.7820232</v>
      </c>
      <c r="L479" s="3" t="str">
        <f>VLOOKUP('[1]New Data'!A479,'[1]New Data'!A:S,19,0)</f>
        <v>Electronics</v>
      </c>
      <c r="M479" s="3" t="str">
        <f>VLOOKUP('[1]New Data'!A479,'[1]New Data'!A:T,20,0)</f>
        <v>Laptop</v>
      </c>
      <c r="N479" s="5">
        <f>VLOOKUP('[1]New Data'!A213,'[1]New Data'!A:Z,25,0)</f>
        <v>1</v>
      </c>
    </row>
    <row r="480" spans="1:14" hidden="1" x14ac:dyDescent="0.35">
      <c r="A480" s="2">
        <v>6314125</v>
      </c>
      <c r="B480" s="2">
        <v>15983</v>
      </c>
      <c r="C480" s="2" t="s">
        <v>502</v>
      </c>
      <c r="D480" s="2" t="s">
        <v>15</v>
      </c>
      <c r="E480" s="3">
        <f>VLOOKUP('[1]New Data'!A94,'[1]New Data'!A:H,8,0)</f>
        <v>48</v>
      </c>
      <c r="F480" s="3" t="str">
        <f>VLOOKUP('[1]New Data'!A94,'[1]New Data'!A:J,10,0)</f>
        <v>Male</v>
      </c>
      <c r="G480" s="3" t="str">
        <f>VLOOKUP('[1]New Data'!A94,'[1]New Data'!A:K,11,0)</f>
        <v>Low</v>
      </c>
      <c r="H480" s="4">
        <f>VLOOKUP('[1]New Data'!A94,'[1]New Data'!A:M,13,0)</f>
        <v>45267</v>
      </c>
      <c r="I480" s="5">
        <f>VLOOKUP('[1]New Data'!A94,'[1]New Data'!A:O,15,0)</f>
        <v>1</v>
      </c>
      <c r="J480" s="3">
        <f>VLOOKUP('[1]New Data'!A94,'[1]New Data'!A:P,16,0)</f>
        <v>104.8262263</v>
      </c>
      <c r="K480" s="3">
        <f>VLOOKUP('[1]New Data'!A94,'[1]New Data'!A:Q,17,0)</f>
        <v>104.8262263</v>
      </c>
      <c r="L480" s="3" t="str">
        <f>VLOOKUP('[1]New Data'!A480,'[1]New Data'!A:S,19,0)</f>
        <v>Books</v>
      </c>
      <c r="M480" s="3" t="str">
        <f>VLOOKUP('[1]New Data'!A480,'[1]New Data'!A:T,20,0)</f>
        <v>Thriller</v>
      </c>
      <c r="N480" s="5">
        <f>VLOOKUP('[1]New Data'!A94,'[1]New Data'!A:Z,25,0)</f>
        <v>4</v>
      </c>
    </row>
    <row r="481" spans="1:14" hidden="1" x14ac:dyDescent="0.35">
      <c r="A481" s="2">
        <v>9192381</v>
      </c>
      <c r="B481" s="2">
        <v>41835</v>
      </c>
      <c r="C481" s="2" t="s">
        <v>503</v>
      </c>
      <c r="D481" s="2" t="s">
        <v>15</v>
      </c>
      <c r="E481" s="3">
        <f>VLOOKUP('[1]New Data'!A141,'[1]New Data'!A:H,8,0)</f>
        <v>33</v>
      </c>
      <c r="F481" s="3" t="str">
        <f>VLOOKUP('[1]New Data'!A141,'[1]New Data'!A:J,10,0)</f>
        <v>Female</v>
      </c>
      <c r="G481" s="3" t="str">
        <f>VLOOKUP('[1]New Data'!A141,'[1]New Data'!A:K,11,0)</f>
        <v>Low</v>
      </c>
      <c r="H481" s="4">
        <f>VLOOKUP('[1]New Data'!A141,'[1]New Data'!A:M,13,0)</f>
        <v>45013</v>
      </c>
      <c r="I481" s="5">
        <f>VLOOKUP('[1]New Data'!A141,'[1]New Data'!A:O,15,0)</f>
        <v>2</v>
      </c>
      <c r="J481" s="3">
        <f>VLOOKUP('[1]New Data'!A141,'[1]New Data'!A:P,16,0)</f>
        <v>50.420540789999997</v>
      </c>
      <c r="K481" s="3">
        <f>VLOOKUP('[1]New Data'!A141,'[1]New Data'!A:Q,17,0)</f>
        <v>100.8410816</v>
      </c>
      <c r="L481" s="3" t="str">
        <f>VLOOKUP('[1]New Data'!A481,'[1]New Data'!A:S,19,0)</f>
        <v>Books</v>
      </c>
      <c r="M481" s="3" t="str">
        <f>VLOOKUP('[1]New Data'!A481,'[1]New Data'!A:T,20,0)</f>
        <v>Thriller</v>
      </c>
      <c r="N481" s="5">
        <f>VLOOKUP('[1]New Data'!A141,'[1]New Data'!A:Z,25,0)</f>
        <v>4</v>
      </c>
    </row>
    <row r="482" spans="1:14" hidden="1" x14ac:dyDescent="0.35">
      <c r="A482" s="2">
        <v>7430587</v>
      </c>
      <c r="B482" s="2">
        <v>55940</v>
      </c>
      <c r="C482" s="2" t="s">
        <v>504</v>
      </c>
      <c r="D482" s="2" t="s">
        <v>15</v>
      </c>
      <c r="E482" s="3">
        <f>VLOOKUP('[1]New Data'!A297,'[1]New Data'!A:H,8,0)</f>
        <v>32</v>
      </c>
      <c r="F482" s="3" t="str">
        <f>VLOOKUP('[1]New Data'!A297,'[1]New Data'!A:J,10,0)</f>
        <v>Male</v>
      </c>
      <c r="G482" s="3" t="str">
        <f>VLOOKUP('[1]New Data'!A297,'[1]New Data'!A:K,11,0)</f>
        <v>Low</v>
      </c>
      <c r="H482" s="4">
        <f>VLOOKUP('[1]New Data'!A297,'[1]New Data'!A:M,13,0)</f>
        <v>45275</v>
      </c>
      <c r="I482" s="5">
        <f>VLOOKUP('[1]New Data'!A297,'[1]New Data'!A:O,15,0)</f>
        <v>3</v>
      </c>
      <c r="J482" s="3">
        <f>VLOOKUP('[1]New Data'!A297,'[1]New Data'!A:P,16,0)</f>
        <v>32.297409180000002</v>
      </c>
      <c r="K482" s="3">
        <f>VLOOKUP('[1]New Data'!A297,'[1]New Data'!A:Q,17,0)</f>
        <v>96.892227539999993</v>
      </c>
      <c r="L482" s="3" t="str">
        <f>VLOOKUP('[1]New Data'!A482,'[1]New Data'!A:S,19,0)</f>
        <v>Clothing</v>
      </c>
      <c r="M482" s="3" t="str">
        <f>VLOOKUP('[1]New Data'!A482,'[1]New Data'!A:T,20,0)</f>
        <v>Shoes</v>
      </c>
      <c r="N482" s="5">
        <f>VLOOKUP('[1]New Data'!A297,'[1]New Data'!A:Z,25,0)</f>
        <v>1</v>
      </c>
    </row>
    <row r="483" spans="1:14" hidden="1" x14ac:dyDescent="0.35">
      <c r="A483" s="2">
        <v>7077961</v>
      </c>
      <c r="B483" s="2">
        <v>61351</v>
      </c>
      <c r="C483" s="2" t="s">
        <v>505</v>
      </c>
      <c r="D483" s="2" t="s">
        <v>15</v>
      </c>
      <c r="E483" s="3">
        <f>VLOOKUP('[1]New Data'!A202,'[1]New Data'!A:H,8,0)</f>
        <v>61</v>
      </c>
      <c r="F483" s="3" t="str">
        <f>VLOOKUP('[1]New Data'!A202,'[1]New Data'!A:J,10,0)</f>
        <v>Male</v>
      </c>
      <c r="G483" s="3" t="str">
        <f>VLOOKUP('[1]New Data'!A202,'[1]New Data'!A:K,11,0)</f>
        <v>Medium</v>
      </c>
      <c r="H483" s="4">
        <f>VLOOKUP('[1]New Data'!A202,'[1]New Data'!A:M,13,0)</f>
        <v>45094</v>
      </c>
      <c r="I483" s="5">
        <f>VLOOKUP('[1]New Data'!A202,'[1]New Data'!A:O,15,0)</f>
        <v>1</v>
      </c>
      <c r="J483" s="3">
        <f>VLOOKUP('[1]New Data'!A202,'[1]New Data'!A:P,16,0)</f>
        <v>95.047991269999997</v>
      </c>
      <c r="K483" s="3">
        <f>VLOOKUP('[1]New Data'!A202,'[1]New Data'!A:Q,17,0)</f>
        <v>95.047991269999997</v>
      </c>
      <c r="L483" s="3" t="str">
        <f>VLOOKUP('[1]New Data'!A483,'[1]New Data'!A:S,19,0)</f>
        <v>Grocery</v>
      </c>
      <c r="M483" s="3" t="str">
        <f>VLOOKUP('[1]New Data'!A483,'[1]New Data'!A:T,20,0)</f>
        <v>Chocolate</v>
      </c>
      <c r="N483" s="5">
        <f>VLOOKUP('[1]New Data'!A202,'[1]New Data'!A:Z,25,0)</f>
        <v>4</v>
      </c>
    </row>
    <row r="484" spans="1:14" x14ac:dyDescent="0.35">
      <c r="A484" s="2">
        <v>5245038</v>
      </c>
      <c r="B484" s="2">
        <v>52641</v>
      </c>
      <c r="C484" s="2" t="s">
        <v>506</v>
      </c>
      <c r="D484" s="2" t="s">
        <v>15</v>
      </c>
      <c r="E484" s="3">
        <f>VLOOKUP('[1]New Data'!A129,'[1]New Data'!A:H,8,0)</f>
        <v>48</v>
      </c>
      <c r="F484" s="3" t="str">
        <f>VLOOKUP('[1]New Data'!A129,'[1]New Data'!A:J,10,0)</f>
        <v>Male</v>
      </c>
      <c r="G484" s="3" t="str">
        <f>VLOOKUP('[1]New Data'!A129,'[1]New Data'!A:K,11,0)</f>
        <v>High</v>
      </c>
      <c r="H484" s="4">
        <f>VLOOKUP('[1]New Data'!A129,'[1]New Data'!A:M,13,0)</f>
        <v>45177</v>
      </c>
      <c r="I484" s="5">
        <f>VLOOKUP('[1]New Data'!A129,'[1]New Data'!A:O,15,0)</f>
        <v>7</v>
      </c>
      <c r="J484" s="3">
        <f>VLOOKUP('[1]New Data'!A129,'[1]New Data'!A:P,16,0)</f>
        <v>12.480915939999999</v>
      </c>
      <c r="K484" s="3">
        <f>VLOOKUP('[1]New Data'!A129,'[1]New Data'!A:Q,17,0)</f>
        <v>87.366411549999995</v>
      </c>
      <c r="L484" s="3" t="str">
        <f>VLOOKUP('[1]New Data'!A484,'[1]New Data'!A:S,19,0)</f>
        <v>Home Decor</v>
      </c>
      <c r="M484" s="3" t="str">
        <f>VLOOKUP('[1]New Data'!A484,'[1]New Data'!A:T,20,0)</f>
        <v>Kitchen</v>
      </c>
      <c r="N484" s="5">
        <f>VLOOKUP('[1]New Data'!A129,'[1]New Data'!A:Z,25,0)</f>
        <v>2</v>
      </c>
    </row>
    <row r="485" spans="1:14" hidden="1" x14ac:dyDescent="0.35">
      <c r="A485" s="2">
        <v>2124439</v>
      </c>
      <c r="B485" s="2">
        <v>74812</v>
      </c>
      <c r="C485" s="2" t="s">
        <v>507</v>
      </c>
      <c r="D485" s="2" t="s">
        <v>15</v>
      </c>
      <c r="E485" s="3">
        <f>VLOOKUP('[1]New Data'!A265,'[1]New Data'!A:H,8,0)</f>
        <v>61</v>
      </c>
      <c r="F485" s="3" t="str">
        <f>VLOOKUP('[1]New Data'!A265,'[1]New Data'!A:J,10,0)</f>
        <v>Male</v>
      </c>
      <c r="G485" s="3" t="str">
        <f>VLOOKUP('[1]New Data'!A265,'[1]New Data'!A:K,11,0)</f>
        <v>Low</v>
      </c>
      <c r="H485" s="4">
        <f>VLOOKUP('[1]New Data'!A265,'[1]New Data'!A:M,13,0)</f>
        <v>45252</v>
      </c>
      <c r="I485" s="5">
        <f>VLOOKUP('[1]New Data'!A265,'[1]New Data'!A:O,15,0)</f>
        <v>6</v>
      </c>
      <c r="J485" s="3">
        <f>VLOOKUP('[1]New Data'!A265,'[1]New Data'!A:P,16,0)</f>
        <v>13.7230279</v>
      </c>
      <c r="K485" s="3">
        <f>VLOOKUP('[1]New Data'!A265,'[1]New Data'!A:Q,17,0)</f>
        <v>82.338167369999994</v>
      </c>
      <c r="L485" s="3" t="str">
        <f>VLOOKUP('[1]New Data'!A485,'[1]New Data'!A:S,19,0)</f>
        <v>Electronics</v>
      </c>
      <c r="M485" s="3" t="str">
        <f>VLOOKUP('[1]New Data'!A485,'[1]New Data'!A:T,20,0)</f>
        <v>Smartphone</v>
      </c>
      <c r="N485" s="5">
        <f>VLOOKUP('[1]New Data'!A265,'[1]New Data'!A:Z,25,0)</f>
        <v>2</v>
      </c>
    </row>
    <row r="486" spans="1:14" hidden="1" x14ac:dyDescent="0.35">
      <c r="A486" s="2">
        <v>1206659</v>
      </c>
      <c r="B486" s="2">
        <v>68480</v>
      </c>
      <c r="C486" s="2" t="s">
        <v>508</v>
      </c>
      <c r="D486" s="2" t="s">
        <v>15</v>
      </c>
      <c r="E486" s="3">
        <f>VLOOKUP('[1]New Data'!A340,'[1]New Data'!A:H,8,0)</f>
        <v>24</v>
      </c>
      <c r="F486" s="3" t="str">
        <f>VLOOKUP('[1]New Data'!A340,'[1]New Data'!A:J,10,0)</f>
        <v>Female</v>
      </c>
      <c r="G486" s="3" t="str">
        <f>VLOOKUP('[1]New Data'!A340,'[1]New Data'!A:K,11,0)</f>
        <v>High</v>
      </c>
      <c r="H486" s="4">
        <f>VLOOKUP('[1]New Data'!A340,'[1]New Data'!A:M,13,0)</f>
        <v>45260</v>
      </c>
      <c r="I486" s="5">
        <f>VLOOKUP('[1]New Data'!A340,'[1]New Data'!A:O,15,0)</f>
        <v>2</v>
      </c>
      <c r="J486" s="3">
        <f>VLOOKUP('[1]New Data'!A340,'[1]New Data'!A:P,16,0)</f>
        <v>40.611297380000003</v>
      </c>
      <c r="K486" s="3">
        <f>VLOOKUP('[1]New Data'!A340,'[1]New Data'!A:Q,17,0)</f>
        <v>81.222594760000007</v>
      </c>
      <c r="L486" s="3" t="str">
        <f>VLOOKUP('[1]New Data'!A486,'[1]New Data'!A:S,19,0)</f>
        <v>Books</v>
      </c>
      <c r="M486" s="3" t="str">
        <f>VLOOKUP('[1]New Data'!A486,'[1]New Data'!A:T,20,0)</f>
        <v>Non-Fiction</v>
      </c>
      <c r="N486" s="5">
        <f>VLOOKUP('[1]New Data'!A340,'[1]New Data'!A:Z,25,0)</f>
        <v>5</v>
      </c>
    </row>
    <row r="487" spans="1:14" hidden="1" x14ac:dyDescent="0.35">
      <c r="A487" s="2">
        <v>5776200</v>
      </c>
      <c r="B487" s="2">
        <v>78206</v>
      </c>
      <c r="C487" s="2" t="s">
        <v>509</v>
      </c>
      <c r="D487" s="2" t="s">
        <v>15</v>
      </c>
      <c r="E487" s="3">
        <f>VLOOKUP('[1]New Data'!A253,'[1]New Data'!A:H,8,0)</f>
        <v>24</v>
      </c>
      <c r="F487" s="3" t="str">
        <f>VLOOKUP('[1]New Data'!A253,'[1]New Data'!A:J,10,0)</f>
        <v>Male</v>
      </c>
      <c r="G487" s="3" t="str">
        <f>VLOOKUP('[1]New Data'!A253,'[1]New Data'!A:K,11,0)</f>
        <v>High</v>
      </c>
      <c r="H487" s="4">
        <f>VLOOKUP('[1]New Data'!A253,'[1]New Data'!A:M,13,0)</f>
        <v>45065</v>
      </c>
      <c r="I487" s="5">
        <f>VLOOKUP('[1]New Data'!A253,'[1]New Data'!A:O,15,0)</f>
        <v>1</v>
      </c>
      <c r="J487" s="3">
        <f>VLOOKUP('[1]New Data'!A253,'[1]New Data'!A:P,16,0)</f>
        <v>79.975723369999997</v>
      </c>
      <c r="K487" s="3">
        <f>VLOOKUP('[1]New Data'!A253,'[1]New Data'!A:Q,17,0)</f>
        <v>79.975723369999997</v>
      </c>
      <c r="L487" s="3" t="str">
        <f>VLOOKUP('[1]New Data'!A487,'[1]New Data'!A:S,19,0)</f>
        <v>Clothing</v>
      </c>
      <c r="M487" s="3" t="str">
        <f>VLOOKUP('[1]New Data'!A487,'[1]New Data'!A:T,20,0)</f>
        <v>Shoes</v>
      </c>
      <c r="N487" s="5">
        <f>VLOOKUP('[1]New Data'!A253,'[1]New Data'!A:Z,25,0)</f>
        <v>4</v>
      </c>
    </row>
    <row r="488" spans="1:14" hidden="1" x14ac:dyDescent="0.35">
      <c r="A488" s="2">
        <v>8900433</v>
      </c>
      <c r="B488" s="2">
        <v>39665</v>
      </c>
      <c r="C488" s="2" t="s">
        <v>510</v>
      </c>
      <c r="D488" s="2" t="s">
        <v>15</v>
      </c>
      <c r="E488" s="3">
        <f>VLOOKUP('[1]New Data'!A453,'[1]New Data'!A:H,8,0)</f>
        <v>19</v>
      </c>
      <c r="F488" s="3" t="str">
        <f>VLOOKUP('[1]New Data'!A453,'[1]New Data'!A:J,10,0)</f>
        <v>Male</v>
      </c>
      <c r="G488" s="3" t="str">
        <f>VLOOKUP('[1]New Data'!A453,'[1]New Data'!A:K,11,0)</f>
        <v>Low</v>
      </c>
      <c r="H488" s="4">
        <f>VLOOKUP('[1]New Data'!A453,'[1]New Data'!A:M,13,0)</f>
        <v>45116</v>
      </c>
      <c r="I488" s="5">
        <f>VLOOKUP('[1]New Data'!A453,'[1]New Data'!A:O,15,0)</f>
        <v>1</v>
      </c>
      <c r="J488" s="3">
        <f>VLOOKUP('[1]New Data'!A453,'[1]New Data'!A:P,16,0)</f>
        <v>74.895771699999997</v>
      </c>
      <c r="K488" s="3">
        <f>VLOOKUP('[1]New Data'!A453,'[1]New Data'!A:Q,17,0)</f>
        <v>74.895771699999997</v>
      </c>
      <c r="L488" s="3" t="str">
        <f>VLOOKUP('[1]New Data'!A488,'[1]New Data'!A:S,19,0)</f>
        <v>Clothing</v>
      </c>
      <c r="M488" s="3" t="str">
        <f>VLOOKUP('[1]New Data'!A488,'[1]New Data'!A:T,20,0)</f>
        <v>T-shirt</v>
      </c>
      <c r="N488" s="5">
        <f>VLOOKUP('[1]New Data'!A453,'[1]New Data'!A:Z,25,0)</f>
        <v>5</v>
      </c>
    </row>
    <row r="489" spans="1:14" hidden="1" x14ac:dyDescent="0.35">
      <c r="A489" s="2">
        <v>4801034</v>
      </c>
      <c r="B489" s="2">
        <v>39803</v>
      </c>
      <c r="C489" s="2" t="s">
        <v>511</v>
      </c>
      <c r="D489" s="2" t="s">
        <v>15</v>
      </c>
      <c r="E489" s="3">
        <f>VLOOKUP('[1]New Data'!A218,'[1]New Data'!A:H,8,0)</f>
        <v>55</v>
      </c>
      <c r="F489" s="3" t="str">
        <f>VLOOKUP('[1]New Data'!A218,'[1]New Data'!A:J,10,0)</f>
        <v>Female</v>
      </c>
      <c r="G489" s="3" t="str">
        <f>VLOOKUP('[1]New Data'!A218,'[1]New Data'!A:K,11,0)</f>
        <v>Medium</v>
      </c>
      <c r="H489" s="4">
        <f>VLOOKUP('[1]New Data'!A218,'[1]New Data'!A:M,13,0)</f>
        <v>45252</v>
      </c>
      <c r="I489" s="5">
        <f>VLOOKUP('[1]New Data'!A218,'[1]New Data'!A:O,15,0)</f>
        <v>2</v>
      </c>
      <c r="J489" s="3">
        <f>VLOOKUP('[1]New Data'!A218,'[1]New Data'!A:P,16,0)</f>
        <v>36.295867469999997</v>
      </c>
      <c r="K489" s="3">
        <f>VLOOKUP('[1]New Data'!A218,'[1]New Data'!A:Q,17,0)</f>
        <v>72.591734950000003</v>
      </c>
      <c r="L489" s="3" t="str">
        <f>VLOOKUP('[1]New Data'!A489,'[1]New Data'!A:S,19,0)</f>
        <v>Electronics</v>
      </c>
      <c r="M489" s="3" t="str">
        <f>VLOOKUP('[1]New Data'!A489,'[1]New Data'!A:T,20,0)</f>
        <v>Smartphone</v>
      </c>
      <c r="N489" s="5">
        <f>VLOOKUP('[1]New Data'!A218,'[1]New Data'!A:Z,25,0)</f>
        <v>2</v>
      </c>
    </row>
    <row r="490" spans="1:14" hidden="1" x14ac:dyDescent="0.35">
      <c r="A490" s="2">
        <v>4969987</v>
      </c>
      <c r="B490" s="2">
        <v>64995</v>
      </c>
      <c r="C490" s="2" t="s">
        <v>512</v>
      </c>
      <c r="D490" s="2" t="s">
        <v>15</v>
      </c>
      <c r="E490" s="3">
        <f>VLOOKUP('[1]New Data'!A17,'[1]New Data'!A:H,8,0)</f>
        <v>43</v>
      </c>
      <c r="F490" s="3" t="str">
        <f>VLOOKUP('[1]New Data'!A17,'[1]New Data'!A:J,10,0)</f>
        <v>Male</v>
      </c>
      <c r="G490" s="3" t="str">
        <f>VLOOKUP('[1]New Data'!A17,'[1]New Data'!A:K,11,0)</f>
        <v>Medium</v>
      </c>
      <c r="H490" s="4">
        <f>VLOOKUP('[1]New Data'!A17,'[1]New Data'!A:M,13,0)</f>
        <v>45092</v>
      </c>
      <c r="I490" s="5">
        <f>VLOOKUP('[1]New Data'!A17,'[1]New Data'!A:O,15,0)</f>
        <v>3</v>
      </c>
      <c r="J490" s="3">
        <f>VLOOKUP('[1]New Data'!A17,'[1]New Data'!A:P,16,0)</f>
        <v>23.723901219999998</v>
      </c>
      <c r="K490" s="3">
        <f>VLOOKUP('[1]New Data'!A17,'[1]New Data'!A:Q,17,0)</f>
        <v>71.171703669999999</v>
      </c>
      <c r="L490" s="3" t="str">
        <f>VLOOKUP('[1]New Data'!A490,'[1]New Data'!A:S,19,0)</f>
        <v>Clothing</v>
      </c>
      <c r="M490" s="3" t="str">
        <f>VLOOKUP('[1]New Data'!A490,'[1]New Data'!A:T,20,0)</f>
        <v>Shirt</v>
      </c>
      <c r="N490" s="5">
        <f>VLOOKUP('[1]New Data'!A17,'[1]New Data'!A:Z,25,0)</f>
        <v>1</v>
      </c>
    </row>
    <row r="491" spans="1:14" hidden="1" x14ac:dyDescent="0.35">
      <c r="A491" s="2">
        <v>7165666</v>
      </c>
      <c r="B491" s="2">
        <v>62402</v>
      </c>
      <c r="C491" s="2" t="s">
        <v>513</v>
      </c>
      <c r="D491" s="2" t="s">
        <v>15</v>
      </c>
      <c r="E491" s="3">
        <f>VLOOKUP('[1]New Data'!A460,'[1]New Data'!A:H,8,0)</f>
        <v>70</v>
      </c>
      <c r="F491" s="3" t="str">
        <f>VLOOKUP('[1]New Data'!A460,'[1]New Data'!A:J,10,0)</f>
        <v>Male</v>
      </c>
      <c r="G491" s="3" t="str">
        <f>VLOOKUP('[1]New Data'!A460,'[1]New Data'!A:K,11,0)</f>
        <v>Medium</v>
      </c>
      <c r="H491" s="4">
        <f>VLOOKUP('[1]New Data'!A460,'[1]New Data'!A:M,13,0)</f>
        <v>45270</v>
      </c>
      <c r="I491" s="5">
        <f>VLOOKUP('[1]New Data'!A460,'[1]New Data'!A:O,15,0)</f>
        <v>4</v>
      </c>
      <c r="J491" s="3">
        <f>VLOOKUP('[1]New Data'!A460,'[1]New Data'!A:P,16,0)</f>
        <v>16.672012769999998</v>
      </c>
      <c r="K491" s="3">
        <f>VLOOKUP('[1]New Data'!A460,'[1]New Data'!A:Q,17,0)</f>
        <v>66.688051090000002</v>
      </c>
      <c r="L491" s="3" t="str">
        <f>VLOOKUP('[1]New Data'!A491,'[1]New Data'!A:S,19,0)</f>
        <v>Clothing</v>
      </c>
      <c r="M491" s="3" t="str">
        <f>VLOOKUP('[1]New Data'!A491,'[1]New Data'!A:T,20,0)</f>
        <v>Jacket</v>
      </c>
      <c r="N491" s="5">
        <f>VLOOKUP('[1]New Data'!A460,'[1]New Data'!A:Z,25,0)</f>
        <v>2</v>
      </c>
    </row>
    <row r="492" spans="1:14" hidden="1" x14ac:dyDescent="0.35">
      <c r="A492" s="2">
        <v>3997195</v>
      </c>
      <c r="B492" s="2">
        <v>95592</v>
      </c>
      <c r="C492" s="2" t="s">
        <v>514</v>
      </c>
      <c r="D492" s="2" t="s">
        <v>15</v>
      </c>
      <c r="E492" s="3">
        <f>VLOOKUP('[1]New Data'!A122,'[1]New Data'!A:H,8,0)</f>
        <v>41</v>
      </c>
      <c r="F492" s="3" t="str">
        <f>VLOOKUP('[1]New Data'!A122,'[1]New Data'!A:J,10,0)</f>
        <v>Male</v>
      </c>
      <c r="G492" s="3" t="str">
        <f>VLOOKUP('[1]New Data'!A122,'[1]New Data'!A:K,11,0)</f>
        <v>Low</v>
      </c>
      <c r="H492" s="4">
        <f>VLOOKUP('[1]New Data'!A122,'[1]New Data'!A:M,13,0)</f>
        <v>45174</v>
      </c>
      <c r="I492" s="5">
        <f>VLOOKUP('[1]New Data'!A122,'[1]New Data'!A:O,15,0)</f>
        <v>3</v>
      </c>
      <c r="J492" s="3">
        <f>VLOOKUP('[1]New Data'!A122,'[1]New Data'!A:P,16,0)</f>
        <v>20.716516729999999</v>
      </c>
      <c r="K492" s="3">
        <f>VLOOKUP('[1]New Data'!A122,'[1]New Data'!A:Q,17,0)</f>
        <v>62.149550179999999</v>
      </c>
      <c r="L492" s="3" t="str">
        <f>VLOOKUP('[1]New Data'!A492,'[1]New Data'!A:S,19,0)</f>
        <v>Grocery</v>
      </c>
      <c r="M492" s="3" t="str">
        <f>VLOOKUP('[1]New Data'!A492,'[1]New Data'!A:T,20,0)</f>
        <v>Juice</v>
      </c>
      <c r="N492" s="5">
        <f>VLOOKUP('[1]New Data'!A122,'[1]New Data'!A:Z,25,0)</f>
        <v>2</v>
      </c>
    </row>
    <row r="493" spans="1:14" hidden="1" x14ac:dyDescent="0.35">
      <c r="A493" s="2">
        <v>5067613</v>
      </c>
      <c r="B493" s="2">
        <v>35446</v>
      </c>
      <c r="C493" s="2" t="s">
        <v>515</v>
      </c>
      <c r="D493" s="2" t="s">
        <v>15</v>
      </c>
      <c r="E493" s="3">
        <f>VLOOKUP('[1]New Data'!A298,'[1]New Data'!A:H,8,0)</f>
        <v>48</v>
      </c>
      <c r="F493" s="3" t="str">
        <f>VLOOKUP('[1]New Data'!A298,'[1]New Data'!A:J,10,0)</f>
        <v>Male</v>
      </c>
      <c r="G493" s="3" t="str">
        <f>VLOOKUP('[1]New Data'!A298,'[1]New Data'!A:K,11,0)</f>
        <v>Medium</v>
      </c>
      <c r="H493" s="4">
        <f>VLOOKUP('[1]New Data'!A298,'[1]New Data'!A:M,13,0)</f>
        <v>45125</v>
      </c>
      <c r="I493" s="5">
        <f>VLOOKUP('[1]New Data'!A298,'[1]New Data'!A:O,15,0)</f>
        <v>1</v>
      </c>
      <c r="J493" s="3">
        <f>VLOOKUP('[1]New Data'!A298,'[1]New Data'!A:P,16,0)</f>
        <v>61.888757779999999</v>
      </c>
      <c r="K493" s="3">
        <f>VLOOKUP('[1]New Data'!A298,'[1]New Data'!A:Q,17,0)</f>
        <v>61.888757779999999</v>
      </c>
      <c r="L493" s="3" t="str">
        <f>VLOOKUP('[1]New Data'!A493,'[1]New Data'!A:S,19,0)</f>
        <v>Clothing</v>
      </c>
      <c r="M493" s="3" t="str">
        <f>VLOOKUP('[1]New Data'!A493,'[1]New Data'!A:T,20,0)</f>
        <v>Dress</v>
      </c>
      <c r="N493" s="5">
        <f>VLOOKUP('[1]New Data'!A298,'[1]New Data'!A:Z,25,0)</f>
        <v>4</v>
      </c>
    </row>
    <row r="494" spans="1:14" hidden="1" x14ac:dyDescent="0.35">
      <c r="A494" s="2">
        <v>9260448</v>
      </c>
      <c r="B494" s="2">
        <v>44339</v>
      </c>
      <c r="C494" s="2" t="s">
        <v>516</v>
      </c>
      <c r="D494" s="2" t="s">
        <v>15</v>
      </c>
      <c r="E494" s="3">
        <f>VLOOKUP('[1]New Data'!A498,'[1]New Data'!A:H,8,0)</f>
        <v>36</v>
      </c>
      <c r="F494" s="3" t="str">
        <f>VLOOKUP('[1]New Data'!A498,'[1]New Data'!A:J,10,0)</f>
        <v>Male</v>
      </c>
      <c r="G494" s="3" t="str">
        <f>VLOOKUP('[1]New Data'!A498,'[1]New Data'!A:K,11,0)</f>
        <v>High</v>
      </c>
      <c r="H494" s="4">
        <f>VLOOKUP('[1]New Data'!A498,'[1]New Data'!A:M,13,0)</f>
        <v>45075</v>
      </c>
      <c r="I494" s="5">
        <f>VLOOKUP('[1]New Data'!A498,'[1]New Data'!A:O,15,0)</f>
        <v>5</v>
      </c>
      <c r="J494" s="3">
        <f>VLOOKUP('[1]New Data'!A498,'[1]New Data'!A:P,16,0)</f>
        <v>11.212817039999999</v>
      </c>
      <c r="K494" s="3">
        <f>VLOOKUP('[1]New Data'!A498,'[1]New Data'!A:Q,17,0)</f>
        <v>56.064085220000003</v>
      </c>
      <c r="L494" s="3" t="str">
        <f>VLOOKUP('[1]New Data'!A494,'[1]New Data'!A:S,19,0)</f>
        <v>Electronics</v>
      </c>
      <c r="M494" s="3" t="str">
        <f>VLOOKUP('[1]New Data'!A494,'[1]New Data'!A:T,20,0)</f>
        <v>Tablet</v>
      </c>
      <c r="N494" s="5">
        <f>VLOOKUP('[1]New Data'!A498,'[1]New Data'!A:Z,25,0)</f>
        <v>4</v>
      </c>
    </row>
    <row r="495" spans="1:14" hidden="1" x14ac:dyDescent="0.35">
      <c r="A495" s="2">
        <v>3317106</v>
      </c>
      <c r="B495" s="2">
        <v>29568</v>
      </c>
      <c r="C495" s="2" t="s">
        <v>517</v>
      </c>
      <c r="D495" s="2" t="s">
        <v>15</v>
      </c>
      <c r="E495" s="3">
        <f>VLOOKUP('[1]New Data'!A413,'[1]New Data'!A:H,8,0)</f>
        <v>55</v>
      </c>
      <c r="F495" s="3" t="str">
        <f>VLOOKUP('[1]New Data'!A413,'[1]New Data'!A:J,10,0)</f>
        <v>Female</v>
      </c>
      <c r="G495" s="3" t="str">
        <f>VLOOKUP('[1]New Data'!A413,'[1]New Data'!A:K,11,0)</f>
        <v>Low</v>
      </c>
      <c r="H495" s="4">
        <f>VLOOKUP('[1]New Data'!A413,'[1]New Data'!A:M,13,0)</f>
        <v>45184</v>
      </c>
      <c r="I495" s="5">
        <f>VLOOKUP('[1]New Data'!A413,'[1]New Data'!A:O,15,0)</f>
        <v>1</v>
      </c>
      <c r="J495" s="3">
        <f>VLOOKUP('[1]New Data'!A413,'[1]New Data'!A:P,16,0)</f>
        <v>55.7131033</v>
      </c>
      <c r="K495" s="3">
        <f>VLOOKUP('[1]New Data'!A413,'[1]New Data'!A:Q,17,0)</f>
        <v>55.7131033</v>
      </c>
      <c r="L495" s="3" t="str">
        <f>VLOOKUP('[1]New Data'!A495,'[1]New Data'!A:S,19,0)</f>
        <v>Grocery</v>
      </c>
      <c r="M495" s="3" t="str">
        <f>VLOOKUP('[1]New Data'!A495,'[1]New Data'!A:T,20,0)</f>
        <v>Soft Drink</v>
      </c>
      <c r="N495" s="5">
        <f>VLOOKUP('[1]New Data'!A413,'[1]New Data'!A:Z,25,0)</f>
        <v>1</v>
      </c>
    </row>
    <row r="496" spans="1:14" hidden="1" x14ac:dyDescent="0.35">
      <c r="A496" s="2">
        <v>7226711</v>
      </c>
      <c r="B496" s="2">
        <v>18515</v>
      </c>
      <c r="C496" s="2" t="s">
        <v>518</v>
      </c>
      <c r="D496" s="2" t="s">
        <v>15</v>
      </c>
      <c r="E496" s="3">
        <f>VLOOKUP('[1]New Data'!A351,'[1]New Data'!A:H,8,0)</f>
        <v>67</v>
      </c>
      <c r="F496" s="3" t="str">
        <f>VLOOKUP('[1]New Data'!A351,'[1]New Data'!A:J,10,0)</f>
        <v>Male</v>
      </c>
      <c r="G496" s="3" t="str">
        <f>VLOOKUP('[1]New Data'!A351,'[1]New Data'!A:K,11,0)</f>
        <v>High</v>
      </c>
      <c r="H496" s="4">
        <f>VLOOKUP('[1]New Data'!A351,'[1]New Data'!A:M,13,0)</f>
        <v>45321</v>
      </c>
      <c r="I496" s="5">
        <f>VLOOKUP('[1]New Data'!A351,'[1]New Data'!A:O,15,0)</f>
        <v>1</v>
      </c>
      <c r="J496" s="3">
        <f>VLOOKUP('[1]New Data'!A351,'[1]New Data'!A:P,16,0)</f>
        <v>52.377464080000003</v>
      </c>
      <c r="K496" s="3">
        <f>VLOOKUP('[1]New Data'!A351,'[1]New Data'!A:Q,17,0)</f>
        <v>52.377464080000003</v>
      </c>
      <c r="L496" s="3" t="str">
        <f>VLOOKUP('[1]New Data'!A496,'[1]New Data'!A:S,19,0)</f>
        <v>Books</v>
      </c>
      <c r="M496" s="3" t="str">
        <f>VLOOKUP('[1]New Data'!A496,'[1]New Data'!A:T,20,0)</f>
        <v>Fiction</v>
      </c>
      <c r="N496" s="5">
        <f>VLOOKUP('[1]New Data'!A351,'[1]New Data'!A:Z,25,0)</f>
        <v>3</v>
      </c>
    </row>
    <row r="497" spans="1:14" hidden="1" x14ac:dyDescent="0.35">
      <c r="A497" s="2">
        <v>2344675</v>
      </c>
      <c r="B497" s="2">
        <v>26603</v>
      </c>
      <c r="C497" s="2" t="s">
        <v>519</v>
      </c>
      <c r="D497" s="2" t="s">
        <v>520</v>
      </c>
      <c r="E497" s="3">
        <f>VLOOKUP('[1]New Data'!A9,'[1]New Data'!A:H,8,0)</f>
        <v>29</v>
      </c>
      <c r="F497" s="3" t="str">
        <f>VLOOKUP('[1]New Data'!A9,'[1]New Data'!A:J,10,0)</f>
        <v>Male</v>
      </c>
      <c r="G497" s="3" t="str">
        <f>VLOOKUP('[1]New Data'!A9,'[1]New Data'!A:K,11,0)</f>
        <v>Medium</v>
      </c>
      <c r="H497" s="4">
        <f>VLOOKUP('[1]New Data'!A9,'[1]New Data'!A:M,13,0)</f>
        <v>45009</v>
      </c>
      <c r="I497" s="5">
        <f>VLOOKUP('[1]New Data'!A9,'[1]New Data'!A:O,15,0)</f>
        <v>1</v>
      </c>
      <c r="J497" s="3">
        <f>VLOOKUP('[1]New Data'!A9,'[1]New Data'!A:P,16,0)</f>
        <v>46.588070379999998</v>
      </c>
      <c r="K497" s="3">
        <f>VLOOKUP('[1]New Data'!A9,'[1]New Data'!A:Q,17,0)</f>
        <v>46.588070379999998</v>
      </c>
      <c r="L497" s="3" t="str">
        <f>VLOOKUP('[1]New Data'!A497,'[1]New Data'!A:S,19,0)</f>
        <v>Books</v>
      </c>
      <c r="M497" s="3" t="str">
        <f>VLOOKUP('[1]New Data'!A497,'[1]New Data'!A:T,20,0)</f>
        <v>Thriller</v>
      </c>
      <c r="N497" s="5">
        <f>VLOOKUP('[1]New Data'!A9,'[1]New Data'!A:Z,25,0)</f>
        <v>1</v>
      </c>
    </row>
    <row r="498" spans="1:14" x14ac:dyDescent="0.35">
      <c r="A498" s="2">
        <v>9423609</v>
      </c>
      <c r="B498" s="2">
        <v>16683</v>
      </c>
      <c r="C498" s="2" t="s">
        <v>521</v>
      </c>
      <c r="D498" s="2" t="s">
        <v>15</v>
      </c>
      <c r="E498" s="3">
        <f>VLOOKUP('[1]New Data'!A309,'[1]New Data'!A:H,8,0)</f>
        <v>43</v>
      </c>
      <c r="F498" s="3" t="str">
        <f>VLOOKUP('[1]New Data'!A309,'[1]New Data'!A:J,10,0)</f>
        <v>Male</v>
      </c>
      <c r="G498" s="3" t="str">
        <f>VLOOKUP('[1]New Data'!A309,'[1]New Data'!A:K,11,0)</f>
        <v>Medium</v>
      </c>
      <c r="H498" s="4">
        <f>VLOOKUP('[1]New Data'!A309,'[1]New Data'!A:M,13,0)</f>
        <v>45061</v>
      </c>
      <c r="I498" s="5">
        <f>VLOOKUP('[1]New Data'!A309,'[1]New Data'!A:O,15,0)</f>
        <v>1</v>
      </c>
      <c r="J498" s="3">
        <f>VLOOKUP('[1]New Data'!A309,'[1]New Data'!A:P,16,0)</f>
        <v>41.750675809999997</v>
      </c>
      <c r="K498" s="3">
        <f>VLOOKUP('[1]New Data'!A309,'[1]New Data'!A:Q,17,0)</f>
        <v>41.750675809999997</v>
      </c>
      <c r="L498" s="3" t="str">
        <f>VLOOKUP('[1]New Data'!A498,'[1]New Data'!A:S,19,0)</f>
        <v>Home Decor</v>
      </c>
      <c r="M498" s="3" t="str">
        <f>VLOOKUP('[1]New Data'!A498,'[1]New Data'!A:T,20,0)</f>
        <v>Decorations</v>
      </c>
      <c r="N498" s="5">
        <f>VLOOKUP('[1]New Data'!A309,'[1]New Data'!A:Z,25,0)</f>
        <v>2</v>
      </c>
    </row>
    <row r="499" spans="1:14" hidden="1" x14ac:dyDescent="0.35">
      <c r="A499" s="2">
        <v>3767002</v>
      </c>
      <c r="B499" s="2">
        <v>66893</v>
      </c>
      <c r="C499" s="2" t="s">
        <v>522</v>
      </c>
      <c r="D499" s="2" t="s">
        <v>15</v>
      </c>
      <c r="E499" s="3">
        <f>VLOOKUP('[1]New Data'!A319,'[1]New Data'!A:H,8,0)</f>
        <v>61</v>
      </c>
      <c r="F499" s="3" t="str">
        <f>VLOOKUP('[1]New Data'!A319,'[1]New Data'!A:J,10,0)</f>
        <v>Male</v>
      </c>
      <c r="G499" s="3" t="str">
        <f>VLOOKUP('[1]New Data'!A319,'[1]New Data'!A:K,11,0)</f>
        <v>Medium</v>
      </c>
      <c r="H499" s="4">
        <f>VLOOKUP('[1]New Data'!A319,'[1]New Data'!A:M,13,0)</f>
        <v>45201</v>
      </c>
      <c r="I499" s="5">
        <f>VLOOKUP('[1]New Data'!A319,'[1]New Data'!A:O,15,0)</f>
        <v>1</v>
      </c>
      <c r="J499" s="3">
        <f>VLOOKUP('[1]New Data'!A319,'[1]New Data'!A:P,16,0)</f>
        <v>33.553642740000001</v>
      </c>
      <c r="K499" s="3">
        <f>VLOOKUP('[1]New Data'!A319,'[1]New Data'!A:Q,17,0)</f>
        <v>33.553642740000001</v>
      </c>
      <c r="L499" s="3" t="str">
        <f>VLOOKUP('[1]New Data'!A499,'[1]New Data'!A:S,19,0)</f>
        <v>Clothing</v>
      </c>
      <c r="M499" s="3" t="str">
        <f>VLOOKUP('[1]New Data'!A499,'[1]New Data'!A:T,20,0)</f>
        <v>Shoes</v>
      </c>
      <c r="N499" s="5">
        <f>VLOOKUP('[1]New Data'!A319,'[1]New Data'!A:Z,25,0)</f>
        <v>2</v>
      </c>
    </row>
    <row r="500" spans="1:14" hidden="1" x14ac:dyDescent="0.35">
      <c r="A500" s="2">
        <v>1121415</v>
      </c>
      <c r="B500" s="2">
        <v>96958</v>
      </c>
      <c r="C500" s="2" t="s">
        <v>523</v>
      </c>
      <c r="D500" s="2" t="s">
        <v>15</v>
      </c>
      <c r="E500" s="3">
        <f>VLOOKUP('[1]New Data'!A405,'[1]New Data'!A:H,8,0)</f>
        <v>27</v>
      </c>
      <c r="F500" s="3" t="str">
        <f>VLOOKUP('[1]New Data'!A405,'[1]New Data'!A:J,10,0)</f>
        <v>Female</v>
      </c>
      <c r="G500" s="3" t="str">
        <f>VLOOKUP('[1]New Data'!A405,'[1]New Data'!A:K,11,0)</f>
        <v>Medium</v>
      </c>
      <c r="H500" s="4">
        <f>VLOOKUP('[1]New Data'!A405,'[1]New Data'!A:M,13,0)</f>
        <v>45190</v>
      </c>
      <c r="I500" s="5">
        <f>VLOOKUP('[1]New Data'!A405,'[1]New Data'!A:O,15,0)</f>
        <v>1</v>
      </c>
      <c r="J500" s="3">
        <f>VLOOKUP('[1]New Data'!A405,'[1]New Data'!A:P,16,0)</f>
        <v>18.162848010000001</v>
      </c>
      <c r="K500" s="3">
        <f>VLOOKUP('[1]New Data'!A405,'[1]New Data'!A:Q,17,0)</f>
        <v>18.162848010000001</v>
      </c>
      <c r="L500" s="3" t="str">
        <f>VLOOKUP('[1]New Data'!A500,'[1]New Data'!A:S,19,0)</f>
        <v>Electronics</v>
      </c>
      <c r="M500" s="3" t="str">
        <f>VLOOKUP('[1]New Data'!A500,'[1]New Data'!A:T,20,0)</f>
        <v>Smartphone</v>
      </c>
      <c r="N500" s="5">
        <f>VLOOKUP('[1]New Data'!A405,'[1]New Data'!A:Z,25,0)</f>
        <v>4</v>
      </c>
    </row>
    <row r="501" spans="1:14" hidden="1" x14ac:dyDescent="0.35">
      <c r="A501" s="2">
        <v>8902436</v>
      </c>
      <c r="B501" s="2">
        <v>72108</v>
      </c>
      <c r="C501" s="2" t="s">
        <v>524</v>
      </c>
      <c r="D501" s="2" t="s">
        <v>15</v>
      </c>
      <c r="E501" s="3">
        <f>VLOOKUP('[1]New Data'!A421,'[1]New Data'!A:H,8,0)</f>
        <v>54</v>
      </c>
      <c r="F501" s="3" t="str">
        <f>VLOOKUP('[1]New Data'!A421,'[1]New Data'!A:J,10,0)</f>
        <v>Male</v>
      </c>
      <c r="G501" s="3" t="str">
        <f>VLOOKUP('[1]New Data'!A421,'[1]New Data'!A:K,11,0)</f>
        <v>Low</v>
      </c>
      <c r="H501" s="4">
        <f>VLOOKUP('[1]New Data'!A421,'[1]New Data'!A:M,13,0)</f>
        <v>44993</v>
      </c>
      <c r="I501" s="5">
        <f>VLOOKUP('[1]New Data'!A421,'[1]New Data'!A:O,15,0)</f>
        <v>1</v>
      </c>
      <c r="J501" s="3">
        <f>VLOOKUP('[1]New Data'!A421,'[1]New Data'!A:P,16,0)</f>
        <v>13.506763100000001</v>
      </c>
      <c r="K501" s="3">
        <f>VLOOKUP('[1]New Data'!A421,'[1]New Data'!A:Q,17,0)</f>
        <v>13.506763100000001</v>
      </c>
      <c r="L501" s="3" t="str">
        <f>VLOOKUP('[1]New Data'!A501,'[1]New Data'!A:S,19,0)</f>
        <v>Grocery</v>
      </c>
      <c r="M501" s="3" t="str">
        <f>VLOOKUP('[1]New Data'!A501,'[1]New Data'!A:T,20,0)</f>
        <v>Water</v>
      </c>
      <c r="N501" s="5">
        <f>VLOOKUP('[1]New Data'!A421,'[1]New Data'!A:Z,25,0)</f>
        <v>2</v>
      </c>
    </row>
  </sheetData>
  <autoFilter ref="A1:N501" xr:uid="{D3BF3C61-6761-4218-8C9B-D276A4444576}">
    <filterColumn colId="11">
      <filters>
        <filter val="Home Decor"/>
      </filters>
    </filterColumn>
  </autoFilter>
  <conditionalFormatting sqref="K1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{E8251F70-9BBE-43AE-9282-283D27037516}</x14:id>
        </ext>
      </extLst>
    </cfRule>
  </conditionalFormatting>
  <conditionalFormatting sqref="K2:K50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{EFDFA1E3-BEB5-4196-BF23-F04CDFFB4F63}</x14:id>
        </ext>
      </extLst>
    </cfRule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{E76D2CF0-E017-4139-8D82-7CBFDE4AA5C2}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251F70-9BBE-43AE-9282-283D270375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</xm:sqref>
        </x14:conditionalFormatting>
        <x14:conditionalFormatting xmlns:xm="http://schemas.microsoft.com/office/excel/2006/main">
          <x14:cfRule type="dataBar" id="{EFDFA1E3-BEB5-4196-BF23-F04CDFFB4F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6D2CF0-E017-4139-8D82-7CBFDE4AA5C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K2:K501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C44D-0942-46B1-813F-E9E2A50081B6}">
  <dimension ref="B4:F21"/>
  <sheetViews>
    <sheetView topLeftCell="A3" zoomScale="85" zoomScaleNormal="85" workbookViewId="0">
      <selection activeCell="G10" sqref="G10"/>
    </sheetView>
  </sheetViews>
  <sheetFormatPr defaultRowHeight="14.5" x14ac:dyDescent="0.35"/>
  <cols>
    <col min="2" max="2" width="18.26953125" bestFit="1" customWidth="1"/>
    <col min="3" max="3" width="19.36328125" bestFit="1" customWidth="1"/>
    <col min="4" max="4" width="11.81640625" bestFit="1" customWidth="1"/>
    <col min="5" max="5" width="15" bestFit="1" customWidth="1"/>
    <col min="6" max="6" width="19.36328125" bestFit="1" customWidth="1"/>
    <col min="7" max="57" width="11.81640625" bestFit="1" customWidth="1"/>
  </cols>
  <sheetData>
    <row r="4" spans="2:6" x14ac:dyDescent="0.35">
      <c r="B4" s="12" t="s">
        <v>535</v>
      </c>
      <c r="C4" s="12"/>
      <c r="E4" s="13" t="s">
        <v>536</v>
      </c>
      <c r="F4" s="13"/>
    </row>
    <row r="5" spans="2:6" x14ac:dyDescent="0.35">
      <c r="B5" s="12"/>
      <c r="C5" s="12"/>
      <c r="E5" s="13"/>
      <c r="F5" s="13"/>
    </row>
    <row r="6" spans="2:6" x14ac:dyDescent="0.35">
      <c r="B6" s="6" t="s">
        <v>11</v>
      </c>
      <c r="C6" t="s">
        <v>531</v>
      </c>
      <c r="E6" s="6" t="s">
        <v>5</v>
      </c>
      <c r="F6" t="s">
        <v>531</v>
      </c>
    </row>
    <row r="7" spans="2:6" x14ac:dyDescent="0.35">
      <c r="B7" s="11" t="s">
        <v>529</v>
      </c>
      <c r="C7" s="3">
        <v>149019.86887426002</v>
      </c>
      <c r="E7" s="8" t="s">
        <v>532</v>
      </c>
      <c r="F7" s="9">
        <v>232264.31559432001</v>
      </c>
    </row>
    <row r="8" spans="2:6" x14ac:dyDescent="0.35">
      <c r="B8" s="11" t="s">
        <v>528</v>
      </c>
      <c r="C8" s="3">
        <v>143236.24306405013</v>
      </c>
      <c r="E8" s="10" t="s">
        <v>526</v>
      </c>
      <c r="F8" s="3">
        <v>55088.401031900023</v>
      </c>
    </row>
    <row r="9" spans="2:6" x14ac:dyDescent="0.35">
      <c r="B9" s="11" t="s">
        <v>527</v>
      </c>
      <c r="C9" s="3">
        <v>134065.06716435001</v>
      </c>
      <c r="E9" s="10" t="s">
        <v>525</v>
      </c>
      <c r="F9" s="3">
        <v>49474.387525060003</v>
      </c>
    </row>
    <row r="10" spans="2:6" x14ac:dyDescent="0.35">
      <c r="B10" s="11" t="s">
        <v>525</v>
      </c>
      <c r="C10" s="3">
        <v>128763.75018682002</v>
      </c>
      <c r="E10" s="10" t="s">
        <v>529</v>
      </c>
      <c r="F10" s="3">
        <v>49143.03430040001</v>
      </c>
    </row>
    <row r="11" spans="2:6" x14ac:dyDescent="0.35">
      <c r="B11" s="11" t="s">
        <v>526</v>
      </c>
      <c r="C11" s="3">
        <v>117129.53249678997</v>
      </c>
      <c r="E11" s="10" t="s">
        <v>528</v>
      </c>
      <c r="F11" s="3">
        <v>48138.499635999979</v>
      </c>
    </row>
    <row r="12" spans="2:6" x14ac:dyDescent="0.35">
      <c r="B12" s="7" t="s">
        <v>530</v>
      </c>
      <c r="C12">
        <v>672214.46178627014</v>
      </c>
      <c r="E12" s="10" t="s">
        <v>527</v>
      </c>
      <c r="F12" s="3">
        <v>30419.993100959997</v>
      </c>
    </row>
    <row r="13" spans="2:6" x14ac:dyDescent="0.35">
      <c r="E13" s="8" t="s">
        <v>533</v>
      </c>
      <c r="F13" s="9">
        <v>438514.58225595002</v>
      </c>
    </row>
    <row r="14" spans="2:6" x14ac:dyDescent="0.35">
      <c r="E14" s="10" t="s">
        <v>527</v>
      </c>
      <c r="F14" s="3">
        <v>102209.51012738998</v>
      </c>
    </row>
    <row r="15" spans="2:6" x14ac:dyDescent="0.35">
      <c r="E15" s="10" t="s">
        <v>529</v>
      </c>
      <c r="F15" s="3">
        <v>99876.834573860047</v>
      </c>
    </row>
    <row r="16" spans="2:6" x14ac:dyDescent="0.35">
      <c r="E16" s="10" t="s">
        <v>528</v>
      </c>
      <c r="F16" s="3">
        <v>95097.743428050031</v>
      </c>
    </row>
    <row r="17" spans="5:6" x14ac:dyDescent="0.35">
      <c r="E17" s="10" t="s">
        <v>525</v>
      </c>
      <c r="F17" s="3">
        <v>79289.362661759995</v>
      </c>
    </row>
    <row r="18" spans="5:6" x14ac:dyDescent="0.35">
      <c r="E18" s="10" t="s">
        <v>526</v>
      </c>
      <c r="F18" s="3">
        <v>62041.131464889979</v>
      </c>
    </row>
    <row r="19" spans="5:6" x14ac:dyDescent="0.35">
      <c r="E19" s="8" t="s">
        <v>534</v>
      </c>
      <c r="F19" s="9">
        <v>1435.563936</v>
      </c>
    </row>
    <row r="20" spans="5:6" x14ac:dyDescent="0.35">
      <c r="E20" s="10" t="s">
        <v>527</v>
      </c>
      <c r="F20" s="3">
        <v>1435.563936</v>
      </c>
    </row>
    <row r="21" spans="5:6" x14ac:dyDescent="0.35">
      <c r="E21" s="7" t="s">
        <v>530</v>
      </c>
      <c r="F21">
        <v>672214.46178627003</v>
      </c>
    </row>
  </sheetData>
  <mergeCells count="2">
    <mergeCell ref="B4:C5"/>
    <mergeCell ref="E4:F5"/>
  </mergeCells>
  <conditionalFormatting sqref="B7:B11">
    <cfRule type="aboveAverage" priority="11"/>
  </conditionalFormatting>
  <conditionalFormatting pivot="1" sqref="C7">
    <cfRule type="top10" dxfId="20" priority="7" rank="1"/>
  </conditionalFormatting>
  <conditionalFormatting pivot="1" sqref="C11">
    <cfRule type="top10" dxfId="19" priority="6" bottom="1" rank="1"/>
  </conditionalFormatting>
  <conditionalFormatting pivot="1" sqref="F8:F12">
    <cfRule type="top10" dxfId="18" priority="5" rank="1"/>
  </conditionalFormatting>
  <conditionalFormatting pivot="1" sqref="F12">
    <cfRule type="top10" dxfId="17" priority="4" bottom="1" rank="1"/>
  </conditionalFormatting>
  <conditionalFormatting pivot="1" sqref="F14:F18">
    <cfRule type="top10" dxfId="16" priority="3" rank="1"/>
  </conditionalFormatting>
  <conditionalFormatting pivot="1" sqref="F18">
    <cfRule type="top10" dxfId="15" priority="2" bottom="1" rank="1"/>
  </conditionalFormatting>
  <conditionalFormatting pivot="1" sqref="F18">
    <cfRule type="top10" dxfId="14" priority="1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AG</dc:creator>
  <cp:lastModifiedBy>Deepika AG</cp:lastModifiedBy>
  <dcterms:created xsi:type="dcterms:W3CDTF">2026-07-28T18:53:38Z</dcterms:created>
  <dcterms:modified xsi:type="dcterms:W3CDTF">2026-08-10T05:11:31Z</dcterms:modified>
</cp:coreProperties>
</file>